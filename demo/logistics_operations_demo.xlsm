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7" codeName="{52B413DB-416B-A148-0A32-6202AF4EA34E}"/>
  <workbookPr codeName="ThisWorkbook" defaultThemeVersion="202300"/>
  <mc:AlternateContent xmlns:mc="http://schemas.openxmlformats.org/markup-compatibility/2006">
    <mc:Choice Requires="x15">
      <x15ac:absPath xmlns:x15ac="http://schemas.microsoft.com/office/spreadsheetml/2010/11/ac" url="/Users/maraa/Documents/GitHub-Portfolio/logistics-analytics-dashboard/demo/"/>
    </mc:Choice>
  </mc:AlternateContent>
  <xr:revisionPtr revIDLastSave="0" documentId="8_{28E9D43D-3A89-8641-8DA8-463402E42E7D}" xr6:coauthVersionLast="47" xr6:coauthVersionMax="47" xr10:uidLastSave="{00000000-0000-0000-0000-000000000000}"/>
  <bookViews>
    <workbookView xWindow="18180" yWindow="-25640" windowWidth="30240" windowHeight="18020" activeTab="4" xr2:uid="{6676D50A-587A-48FD-9643-006C6D60F471}"/>
  </bookViews>
  <sheets>
    <sheet name="WEEKLY" sheetId="4" r:id="rId1"/>
    <sheet name="TEMPLATE" sheetId="1" state="hidden" r:id="rId2"/>
    <sheet name="LOG_HISTORY" sheetId="2" r:id="rId3"/>
    <sheet name="MASTER_DATA" sheetId="5" r:id="rId4"/>
    <sheet name="REPORT" sheetId="6" r:id="rId5"/>
    <sheet name="README" sheetId="7" r:id="rId6"/>
  </sheets>
  <functionGroups builtInGroupCount="19"/>
  <calcPr calcId="191029" forceFullCal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6" l="1" a="1"/>
  <c r="B12" i="6" s="1"/>
  <c r="AC8" i="6" a="1"/>
  <c r="AC8" i="6" s="1"/>
  <c r="AB8" i="6" a="1"/>
  <c r="AB8" i="6" s="1"/>
  <c r="AA8" i="6" a="1"/>
  <c r="AA8" i="6" s="1"/>
  <c r="Z8" i="6" a="1"/>
  <c r="Z8" i="6" s="1"/>
  <c r="Y8" i="6" a="1"/>
  <c r="Y8" i="6" s="1"/>
  <c r="X8" i="6" a="1"/>
  <c r="X8" i="6" s="1"/>
  <c r="W8" i="6" a="1"/>
  <c r="W8" i="6" s="1"/>
  <c r="V8" i="6" a="1"/>
  <c r="V8" i="6" s="1"/>
  <c r="U8" i="6" a="1"/>
  <c r="U8" i="6" s="1"/>
  <c r="T8" i="6" a="1"/>
  <c r="T8" i="6" s="1"/>
  <c r="S8" i="6" a="1"/>
  <c r="S8" i="6" s="1"/>
  <c r="R8" i="6" a="1"/>
  <c r="R8" i="6" s="1"/>
  <c r="Q8" i="6" a="1"/>
  <c r="Q8" i="6" s="1"/>
  <c r="P8" i="6" a="1"/>
  <c r="P8" i="6" s="1"/>
  <c r="O8" i="6" a="1"/>
  <c r="O8" i="6" s="1"/>
  <c r="N8" i="6" a="1"/>
  <c r="N8" i="6" s="1"/>
  <c r="M8" i="6" a="1"/>
  <c r="M8" i="6" s="1"/>
  <c r="L8" i="6"/>
  <c r="K8" i="6"/>
  <c r="J8" i="6"/>
  <c r="I8" i="6"/>
  <c r="CI5" i="6" a="1"/>
  <c r="CI5" i="6" s="1"/>
  <c r="CG5" i="6" a="1"/>
  <c r="CG5" i="6" s="1"/>
  <c r="CD5" i="6" a="1"/>
  <c r="CD5" i="6" s="1"/>
  <c r="CC5" i="6" a="1"/>
  <c r="CC5" i="6" s="1"/>
  <c r="Z5" i="6" a="1"/>
  <c r="Z5" i="6" s="1"/>
  <c r="Y5" i="6" a="1"/>
  <c r="Y5" i="6" s="1"/>
  <c r="X5" i="6" a="1"/>
  <c r="X5" i="6" s="1"/>
  <c r="W5" i="6" a="1"/>
  <c r="W5" i="6" s="1"/>
  <c r="V5" i="6" a="1"/>
  <c r="V5" i="6" s="1"/>
  <c r="U5" i="6" a="1"/>
  <c r="U5" i="6" s="1"/>
  <c r="T5" i="6" a="1"/>
  <c r="T5" i="6" s="1"/>
  <c r="S5" i="6" a="1"/>
  <c r="S5" i="6" s="1"/>
  <c r="R5" i="6" a="1"/>
  <c r="R5" i="6" s="1"/>
  <c r="Q5" i="6" a="1"/>
  <c r="Q5" i="6" s="1"/>
  <c r="P5" i="6" a="1"/>
  <c r="P5" i="6" s="1"/>
  <c r="O5" i="6" a="1"/>
  <c r="O5" i="6" s="1"/>
  <c r="N5" i="6" a="1"/>
  <c r="N5" i="6" s="1"/>
  <c r="M5" i="6" a="1"/>
  <c r="M5" i="6" s="1"/>
  <c r="L5" i="6" a="1"/>
  <c r="L5" i="6" s="1"/>
  <c r="K5" i="6" a="1"/>
  <c r="K5" i="6"/>
  <c r="J5" i="6"/>
  <c r="I5" i="6"/>
  <c r="P36" i="2"/>
  <c r="O36" i="2"/>
  <c r="P35" i="2"/>
  <c r="O35" i="2"/>
  <c r="P34" i="2"/>
  <c r="O34" i="2"/>
  <c r="P33" i="2"/>
  <c r="O33" i="2"/>
  <c r="P32" i="2"/>
  <c r="O32" i="2"/>
  <c r="P31" i="2"/>
  <c r="O31" i="2"/>
  <c r="P30" i="2"/>
  <c r="O30" i="2"/>
  <c r="P29" i="2"/>
  <c r="O29" i="2"/>
  <c r="P28" i="2"/>
  <c r="O28" i="2"/>
  <c r="P27" i="2"/>
  <c r="O27" i="2"/>
  <c r="P26" i="2"/>
  <c r="O26" i="2"/>
  <c r="P25" i="2"/>
  <c r="O25" i="2"/>
  <c r="P24" i="2"/>
  <c r="O24" i="2"/>
  <c r="P23" i="2"/>
  <c r="O23" i="2"/>
  <c r="P22" i="2"/>
  <c r="O22" i="2"/>
  <c r="P21" i="2"/>
  <c r="O21" i="2"/>
  <c r="P20" i="2"/>
  <c r="O20" i="2"/>
  <c r="P19" i="2"/>
  <c r="O19" i="2"/>
  <c r="P18" i="2"/>
  <c r="O18" i="2"/>
  <c r="P17" i="2"/>
  <c r="O17" i="2"/>
  <c r="P16" i="2"/>
  <c r="O16" i="2"/>
  <c r="P15" i="2"/>
  <c r="O15" i="2"/>
  <c r="P14" i="2"/>
  <c r="O14" i="2"/>
  <c r="P13" i="2"/>
  <c r="O13" i="2"/>
  <c r="P12" i="2"/>
  <c r="O12" i="2"/>
  <c r="P11" i="2"/>
  <c r="O11" i="2"/>
  <c r="P10" i="2"/>
  <c r="O10" i="2"/>
  <c r="P9" i="2"/>
  <c r="O9" i="2"/>
  <c r="P8" i="2"/>
  <c r="O8" i="2"/>
  <c r="P7" i="2"/>
  <c r="O7" i="2"/>
  <c r="P6" i="2"/>
  <c r="O6" i="2"/>
  <c r="P5" i="2"/>
  <c r="O5" i="2"/>
  <c r="P4" i="2"/>
  <c r="O4" i="2"/>
  <c r="P3" i="2"/>
  <c r="O3" i="2"/>
  <c r="P2" i="2"/>
  <c r="O2" i="2"/>
  <c r="AR51" i="1"/>
  <c r="AQ51" i="1"/>
  <c r="AS51" i="1" s="1"/>
  <c r="AO51" i="1"/>
  <c r="AN51" i="1"/>
  <c r="AL51" i="1"/>
  <c r="AK51" i="1"/>
  <c r="AI51" i="1"/>
  <c r="AH51" i="1"/>
  <c r="AF51" i="1"/>
  <c r="AE51" i="1"/>
  <c r="AA51" i="1"/>
  <c r="Z51" i="1"/>
  <c r="Y51" i="1"/>
  <c r="AR50" i="1"/>
  <c r="AQ50" i="1"/>
  <c r="AO50" i="1"/>
  <c r="AN50" i="1"/>
  <c r="AP50" i="1" s="1"/>
  <c r="AL50" i="1"/>
  <c r="AK50" i="1"/>
  <c r="AI50" i="1"/>
  <c r="AH50" i="1"/>
  <c r="AF50" i="1"/>
  <c r="AE50" i="1"/>
  <c r="AA50" i="1"/>
  <c r="Z50" i="1"/>
  <c r="Y50" i="1"/>
  <c r="AR49" i="1"/>
  <c r="AQ49" i="1"/>
  <c r="AS49" i="1" s="1"/>
  <c r="AO49" i="1"/>
  <c r="AP49" i="1" s="1"/>
  <c r="AN49" i="1"/>
  <c r="AL49" i="1"/>
  <c r="AK49" i="1"/>
  <c r="AI49" i="1"/>
  <c r="AH49" i="1"/>
  <c r="AF49" i="1"/>
  <c r="AE49" i="1"/>
  <c r="AG49" i="1" s="1"/>
  <c r="AA49" i="1"/>
  <c r="Z49" i="1"/>
  <c r="Y49" i="1"/>
  <c r="AR48" i="1"/>
  <c r="AQ48" i="1"/>
  <c r="AO48" i="1"/>
  <c r="AN48" i="1"/>
  <c r="AL48" i="1"/>
  <c r="AK48" i="1"/>
  <c r="AI48" i="1"/>
  <c r="AH48" i="1"/>
  <c r="AF48" i="1"/>
  <c r="AE48" i="1"/>
  <c r="AG48" i="1" s="1"/>
  <c r="AA48" i="1"/>
  <c r="Z48" i="1"/>
  <c r="Y48" i="1"/>
  <c r="AR47" i="1"/>
  <c r="AQ47" i="1"/>
  <c r="AO47" i="1"/>
  <c r="AN47" i="1"/>
  <c r="AL47" i="1"/>
  <c r="AK47" i="1"/>
  <c r="AI47" i="1"/>
  <c r="AH47" i="1"/>
  <c r="AF47" i="1"/>
  <c r="AE47" i="1"/>
  <c r="AA47" i="1"/>
  <c r="Z47" i="1"/>
  <c r="Y47" i="1"/>
  <c r="AR46" i="1"/>
  <c r="AQ46" i="1"/>
  <c r="AO46" i="1"/>
  <c r="AN46" i="1"/>
  <c r="AL46" i="1"/>
  <c r="AK46" i="1"/>
  <c r="AI46" i="1"/>
  <c r="AH46" i="1"/>
  <c r="AJ46" i="1" s="1"/>
  <c r="AF46" i="1"/>
  <c r="AE46" i="1"/>
  <c r="AA46" i="1"/>
  <c r="Z46" i="1"/>
  <c r="Y46" i="1"/>
  <c r="AR45" i="1"/>
  <c r="AQ45" i="1"/>
  <c r="AO45" i="1"/>
  <c r="AN45" i="1"/>
  <c r="AP45" i="1" s="1"/>
  <c r="AL45" i="1"/>
  <c r="AK45" i="1"/>
  <c r="AM45" i="1" s="1"/>
  <c r="AI45" i="1"/>
  <c r="AH45" i="1"/>
  <c r="AF45" i="1"/>
  <c r="AE45" i="1"/>
  <c r="AG45" i="1" s="1"/>
  <c r="AA45" i="1"/>
  <c r="Z45" i="1"/>
  <c r="Y45" i="1"/>
  <c r="AR44" i="1"/>
  <c r="AQ44" i="1"/>
  <c r="AO44" i="1"/>
  <c r="AN44" i="1"/>
  <c r="AL44" i="1"/>
  <c r="AK44" i="1"/>
  <c r="AI44" i="1"/>
  <c r="AH44" i="1"/>
  <c r="AF44" i="1"/>
  <c r="AE44" i="1"/>
  <c r="AG44" i="1" s="1"/>
  <c r="AA44" i="1"/>
  <c r="Z44" i="1"/>
  <c r="Y44" i="1"/>
  <c r="AR43" i="1"/>
  <c r="AQ43" i="1"/>
  <c r="AS43" i="1" s="1"/>
  <c r="AO43" i="1"/>
  <c r="AN43" i="1"/>
  <c r="AL43" i="1"/>
  <c r="AK43" i="1"/>
  <c r="AI43" i="1"/>
  <c r="AH43" i="1"/>
  <c r="AF43" i="1"/>
  <c r="AE43" i="1"/>
  <c r="AA43" i="1"/>
  <c r="Z43" i="1"/>
  <c r="Y43" i="1"/>
  <c r="AR42" i="1"/>
  <c r="AQ42" i="1"/>
  <c r="AO42" i="1"/>
  <c r="AN42" i="1"/>
  <c r="AL42" i="1"/>
  <c r="AK42" i="1"/>
  <c r="AM42" i="1" s="1"/>
  <c r="AI42" i="1"/>
  <c r="AH42" i="1"/>
  <c r="AJ42" i="1" s="1"/>
  <c r="AF42" i="1"/>
  <c r="AG42" i="1" s="1"/>
  <c r="AE42" i="1"/>
  <c r="AA42" i="1"/>
  <c r="Z42" i="1"/>
  <c r="Y42" i="1"/>
  <c r="AR41" i="1"/>
  <c r="AQ41" i="1"/>
  <c r="AO41" i="1"/>
  <c r="AN41" i="1"/>
  <c r="AP41" i="1" s="1"/>
  <c r="AL41" i="1"/>
  <c r="AK41" i="1"/>
  <c r="AI41" i="1"/>
  <c r="AH41" i="1"/>
  <c r="AF41" i="1"/>
  <c r="AE41" i="1"/>
  <c r="AG41" i="1" s="1"/>
  <c r="AA41" i="1"/>
  <c r="Z41" i="1"/>
  <c r="Y41" i="1"/>
  <c r="AR40" i="1"/>
  <c r="AQ40" i="1"/>
  <c r="AO40" i="1"/>
  <c r="AN40" i="1"/>
  <c r="AP40" i="1" s="1"/>
  <c r="AL40" i="1"/>
  <c r="AK40" i="1"/>
  <c r="AI40" i="1"/>
  <c r="AH40" i="1"/>
  <c r="AF40" i="1"/>
  <c r="AG40" i="1" s="1"/>
  <c r="AE40" i="1"/>
  <c r="AA40" i="1"/>
  <c r="Z40" i="1"/>
  <c r="Y40" i="1"/>
  <c r="AR39" i="1"/>
  <c r="AQ39" i="1"/>
  <c r="AS39" i="1" s="1"/>
  <c r="AO39" i="1"/>
  <c r="AN39" i="1"/>
  <c r="AL39" i="1"/>
  <c r="AK39" i="1"/>
  <c r="AI39" i="1"/>
  <c r="AH39" i="1"/>
  <c r="AF39" i="1"/>
  <c r="AE39" i="1"/>
  <c r="AG39" i="1" s="1"/>
  <c r="AA39" i="1"/>
  <c r="Z39" i="1"/>
  <c r="Y39" i="1"/>
  <c r="AR38" i="1"/>
  <c r="AQ38" i="1"/>
  <c r="AS38" i="1" s="1"/>
  <c r="AO38" i="1"/>
  <c r="AN38" i="1"/>
  <c r="AP38" i="1" s="1"/>
  <c r="AL38" i="1"/>
  <c r="AK38" i="1"/>
  <c r="AI38" i="1"/>
  <c r="AH38" i="1"/>
  <c r="AF38" i="1"/>
  <c r="AE38" i="1"/>
  <c r="AA38" i="1"/>
  <c r="Z38" i="1"/>
  <c r="Y38" i="1"/>
  <c r="AR37" i="1"/>
  <c r="AQ37" i="1"/>
  <c r="AO37" i="1"/>
  <c r="AN37" i="1"/>
  <c r="AL37" i="1"/>
  <c r="AK37" i="1"/>
  <c r="AI37" i="1"/>
  <c r="AH37" i="1"/>
  <c r="AJ37" i="1" s="1"/>
  <c r="AF37" i="1"/>
  <c r="AE37" i="1"/>
  <c r="AA37" i="1"/>
  <c r="Z37" i="1"/>
  <c r="Y37" i="1"/>
  <c r="AR36" i="1"/>
  <c r="AQ36" i="1"/>
  <c r="AS36" i="1" s="1"/>
  <c r="AO36" i="1"/>
  <c r="AN36" i="1"/>
  <c r="AL36" i="1"/>
  <c r="AK36" i="1"/>
  <c r="AI36" i="1"/>
  <c r="AH36" i="1"/>
  <c r="AJ36" i="1" s="1"/>
  <c r="AF36" i="1"/>
  <c r="AE36" i="1"/>
  <c r="AG36" i="1" s="1"/>
  <c r="AA36" i="1"/>
  <c r="Z36" i="1"/>
  <c r="Y36" i="1"/>
  <c r="AR35" i="1"/>
  <c r="AQ35" i="1"/>
  <c r="AS35" i="1" s="1"/>
  <c r="AO35" i="1"/>
  <c r="AN35" i="1"/>
  <c r="AP35" i="1" s="1"/>
  <c r="AL35" i="1"/>
  <c r="AK35" i="1"/>
  <c r="AI35" i="1"/>
  <c r="AH35" i="1"/>
  <c r="AF35" i="1"/>
  <c r="AE35" i="1"/>
  <c r="AA35" i="1"/>
  <c r="Z35" i="1"/>
  <c r="Y35" i="1"/>
  <c r="AR34" i="1"/>
  <c r="AQ34" i="1"/>
  <c r="AO34" i="1"/>
  <c r="AN34" i="1"/>
  <c r="AL34" i="1"/>
  <c r="AK34" i="1"/>
  <c r="AI34" i="1"/>
  <c r="AH34" i="1"/>
  <c r="AF34" i="1"/>
  <c r="AE34" i="1"/>
  <c r="AG34" i="1" s="1"/>
  <c r="AA34" i="1"/>
  <c r="Z34" i="1"/>
  <c r="Y34" i="1"/>
  <c r="AR33" i="1"/>
  <c r="AQ33" i="1"/>
  <c r="AS33" i="1" s="1"/>
  <c r="AO33" i="1"/>
  <c r="AN33" i="1"/>
  <c r="AL33" i="1"/>
  <c r="AK33" i="1"/>
  <c r="AM33" i="1" s="1"/>
  <c r="AI33" i="1"/>
  <c r="AH33" i="1"/>
  <c r="AF33" i="1"/>
  <c r="AE33" i="1"/>
  <c r="AA33" i="1"/>
  <c r="Z33" i="1"/>
  <c r="Y33" i="1"/>
  <c r="AR32" i="1"/>
  <c r="AQ32" i="1"/>
  <c r="AO32" i="1"/>
  <c r="AN32" i="1"/>
  <c r="AL32" i="1"/>
  <c r="AK32" i="1"/>
  <c r="AI32" i="1"/>
  <c r="AH32" i="1"/>
  <c r="AJ32" i="1" s="1"/>
  <c r="AF32" i="1"/>
  <c r="AE32" i="1"/>
  <c r="AG32" i="1" s="1"/>
  <c r="AA32" i="1"/>
  <c r="Z32" i="1"/>
  <c r="Y32" i="1"/>
  <c r="AR31" i="1"/>
  <c r="AQ31" i="1"/>
  <c r="AS31" i="1" s="1"/>
  <c r="AO31" i="1"/>
  <c r="AN31" i="1"/>
  <c r="AL31" i="1"/>
  <c r="AK31" i="1"/>
  <c r="AI31" i="1"/>
  <c r="AH31" i="1"/>
  <c r="AF31" i="1"/>
  <c r="AG31" i="1" s="1"/>
  <c r="AE31" i="1"/>
  <c r="AA31" i="1"/>
  <c r="Z31" i="1"/>
  <c r="Y31" i="1"/>
  <c r="AR30" i="1"/>
  <c r="AQ30" i="1"/>
  <c r="AO30" i="1"/>
  <c r="AN30" i="1"/>
  <c r="AL30" i="1"/>
  <c r="AK30" i="1"/>
  <c r="AI30" i="1"/>
  <c r="AH30" i="1"/>
  <c r="AJ30" i="1" s="1"/>
  <c r="AF30" i="1"/>
  <c r="AE30" i="1"/>
  <c r="AA30" i="1"/>
  <c r="Z30" i="1"/>
  <c r="Y30" i="1"/>
  <c r="AR29" i="1"/>
  <c r="AQ29" i="1"/>
  <c r="AS29" i="1" s="1"/>
  <c r="AO29" i="1"/>
  <c r="AN29" i="1"/>
  <c r="AP29" i="1" s="1"/>
  <c r="AL29" i="1"/>
  <c r="AK29" i="1"/>
  <c r="AI29" i="1"/>
  <c r="AH29" i="1"/>
  <c r="AJ29" i="1" s="1"/>
  <c r="AF29" i="1"/>
  <c r="AE29" i="1"/>
  <c r="AG29" i="1" s="1"/>
  <c r="AA29" i="1"/>
  <c r="Z29" i="1"/>
  <c r="Y29" i="1"/>
  <c r="AR28" i="1"/>
  <c r="AQ28" i="1"/>
  <c r="AS28" i="1" s="1"/>
  <c r="AO28" i="1"/>
  <c r="AN28" i="1"/>
  <c r="AL28" i="1"/>
  <c r="AK28" i="1"/>
  <c r="AI28" i="1"/>
  <c r="AH28" i="1"/>
  <c r="AF28" i="1"/>
  <c r="AE28" i="1"/>
  <c r="AA28" i="1"/>
  <c r="Z28" i="1"/>
  <c r="Y28" i="1"/>
  <c r="AR27" i="1"/>
  <c r="AQ27" i="1"/>
  <c r="AO27" i="1"/>
  <c r="AN27" i="1"/>
  <c r="AP27" i="1" s="1"/>
  <c r="AL27" i="1"/>
  <c r="AK27" i="1"/>
  <c r="AM27" i="1" s="1"/>
  <c r="AI27" i="1"/>
  <c r="AH27" i="1"/>
  <c r="AF27" i="1"/>
  <c r="AE27" i="1"/>
  <c r="AA27" i="1"/>
  <c r="Z27" i="1"/>
  <c r="Y27" i="1"/>
  <c r="AR26" i="1"/>
  <c r="AQ26" i="1"/>
  <c r="AS26" i="1" s="1"/>
  <c r="AO26" i="1"/>
  <c r="AN26" i="1"/>
  <c r="AP26" i="1" s="1"/>
  <c r="AL26" i="1"/>
  <c r="AK26" i="1"/>
  <c r="AM26" i="1" s="1"/>
  <c r="AI26" i="1"/>
  <c r="AH26" i="1"/>
  <c r="AF26" i="1"/>
  <c r="AE26" i="1"/>
  <c r="AA26" i="1"/>
  <c r="Z26" i="1"/>
  <c r="Y26" i="1"/>
  <c r="AR25" i="1"/>
  <c r="AQ25" i="1"/>
  <c r="AO25" i="1"/>
  <c r="AN25" i="1"/>
  <c r="AP25" i="1" s="1"/>
  <c r="AL25" i="1"/>
  <c r="AM25" i="1" s="1"/>
  <c r="AK25" i="1"/>
  <c r="AI25" i="1"/>
  <c r="AH25" i="1"/>
  <c r="AJ25" i="1" s="1"/>
  <c r="AF25" i="1"/>
  <c r="AE25" i="1"/>
  <c r="AG25" i="1" s="1"/>
  <c r="AA25" i="1"/>
  <c r="Z25" i="1"/>
  <c r="Y25" i="1"/>
  <c r="AR24" i="1"/>
  <c r="AQ24" i="1"/>
  <c r="AS24" i="1" s="1"/>
  <c r="AO24" i="1"/>
  <c r="AN24" i="1"/>
  <c r="AL24" i="1"/>
  <c r="AK24" i="1"/>
  <c r="AM24" i="1" s="1"/>
  <c r="AI24" i="1"/>
  <c r="AH24" i="1"/>
  <c r="AF24" i="1"/>
  <c r="AE24" i="1"/>
  <c r="AA24" i="1"/>
  <c r="Z24" i="1"/>
  <c r="Y24" i="1"/>
  <c r="AR23" i="1"/>
  <c r="AQ23" i="1"/>
  <c r="AS23" i="1" s="1"/>
  <c r="AO23" i="1"/>
  <c r="AN23" i="1"/>
  <c r="AL23" i="1"/>
  <c r="AK23" i="1"/>
  <c r="AI23" i="1"/>
  <c r="AH23" i="1"/>
  <c r="AF23" i="1"/>
  <c r="AE23" i="1"/>
  <c r="AG23" i="1" s="1"/>
  <c r="AA23" i="1"/>
  <c r="Z23" i="1"/>
  <c r="Y23" i="1"/>
  <c r="AR22" i="1"/>
  <c r="AQ22" i="1"/>
  <c r="AO22" i="1"/>
  <c r="AN22" i="1"/>
  <c r="AL22" i="1"/>
  <c r="AK22" i="1"/>
  <c r="AM22" i="1" s="1"/>
  <c r="AI22" i="1"/>
  <c r="AH22" i="1"/>
  <c r="AJ22" i="1" s="1"/>
  <c r="AF22" i="1"/>
  <c r="AE22" i="1"/>
  <c r="AA22" i="1"/>
  <c r="Z22" i="1"/>
  <c r="Y22" i="1"/>
  <c r="AR21" i="1"/>
  <c r="AS21" i="1" s="1"/>
  <c r="AQ21" i="1"/>
  <c r="AO21" i="1"/>
  <c r="AN21" i="1"/>
  <c r="AL21" i="1"/>
  <c r="AK21" i="1"/>
  <c r="AI21" i="1"/>
  <c r="AH21" i="1"/>
  <c r="AF21" i="1"/>
  <c r="AE21" i="1"/>
  <c r="AG21" i="1" s="1"/>
  <c r="AA21" i="1"/>
  <c r="Z21" i="1"/>
  <c r="Y21" i="1"/>
  <c r="AR20" i="1"/>
  <c r="AQ20" i="1"/>
  <c r="AS20" i="1" s="1"/>
  <c r="AO20" i="1"/>
  <c r="AN20" i="1"/>
  <c r="AP20" i="1" s="1"/>
  <c r="AL20" i="1"/>
  <c r="AK20" i="1"/>
  <c r="AI20" i="1"/>
  <c r="AH20" i="1"/>
  <c r="AJ20" i="1" s="1"/>
  <c r="AF20" i="1"/>
  <c r="AE20" i="1"/>
  <c r="AA20" i="1"/>
  <c r="Z20" i="1"/>
  <c r="Y20" i="1"/>
  <c r="AR19" i="1"/>
  <c r="AS19" i="1" s="1"/>
  <c r="AQ19" i="1"/>
  <c r="AO19" i="1"/>
  <c r="AN19" i="1"/>
  <c r="AP19" i="1" s="1"/>
  <c r="AL19" i="1"/>
  <c r="AK19" i="1"/>
  <c r="AM19" i="1" s="1"/>
  <c r="AI19" i="1"/>
  <c r="AH19" i="1"/>
  <c r="AF19" i="1"/>
  <c r="AE19" i="1"/>
  <c r="AG19" i="1" s="1"/>
  <c r="AA19" i="1"/>
  <c r="Z19" i="1"/>
  <c r="Y19" i="1"/>
  <c r="AR18" i="1"/>
  <c r="AQ18" i="1"/>
  <c r="AS18" i="1" s="1"/>
  <c r="AO18" i="1"/>
  <c r="AN18" i="1"/>
  <c r="AL18" i="1"/>
  <c r="AK18" i="1"/>
  <c r="AM18" i="1" s="1"/>
  <c r="AI18" i="1"/>
  <c r="AH18" i="1"/>
  <c r="AJ18" i="1" s="1"/>
  <c r="AF18" i="1"/>
  <c r="AG18" i="1" s="1"/>
  <c r="AE18" i="1"/>
  <c r="AA18" i="1"/>
  <c r="Z18" i="1"/>
  <c r="Y18" i="1"/>
  <c r="AR17" i="1"/>
  <c r="AS17" i="1" s="1"/>
  <c r="AQ17" i="1"/>
  <c r="AO17" i="1"/>
  <c r="AN17" i="1"/>
  <c r="AP17" i="1" s="1"/>
  <c r="AL17" i="1"/>
  <c r="AK17" i="1"/>
  <c r="AI17" i="1"/>
  <c r="AH17" i="1"/>
  <c r="AF17" i="1"/>
  <c r="AE17" i="1"/>
  <c r="AG17" i="1" s="1"/>
  <c r="AA17" i="1"/>
  <c r="Z17" i="1"/>
  <c r="Y17" i="1"/>
  <c r="AR16" i="1"/>
  <c r="AQ16" i="1"/>
  <c r="AS16" i="1" s="1"/>
  <c r="AO16" i="1"/>
  <c r="AN16" i="1"/>
  <c r="AL16" i="1"/>
  <c r="AK16" i="1"/>
  <c r="AM16" i="1" s="1"/>
  <c r="AI16" i="1"/>
  <c r="AH16" i="1"/>
  <c r="AJ16" i="1" s="1"/>
  <c r="AF16" i="1"/>
  <c r="AE16" i="1"/>
  <c r="AA16" i="1"/>
  <c r="Z16" i="1"/>
  <c r="Y16" i="1"/>
  <c r="AR15" i="1"/>
  <c r="AQ15" i="1"/>
  <c r="AO15" i="1"/>
  <c r="AN15" i="1"/>
  <c r="AP15" i="1" s="1"/>
  <c r="AL15" i="1"/>
  <c r="AK15" i="1"/>
  <c r="AI15" i="1"/>
  <c r="AH15" i="1"/>
  <c r="AF15" i="1"/>
  <c r="AE15" i="1"/>
  <c r="AA15" i="1"/>
  <c r="Z15" i="1"/>
  <c r="Y15" i="1"/>
  <c r="AR14" i="1"/>
  <c r="AQ14" i="1"/>
  <c r="AO14" i="1"/>
  <c r="AN14" i="1"/>
  <c r="AP14" i="1" s="1"/>
  <c r="AL14" i="1"/>
  <c r="AK14" i="1"/>
  <c r="AI14" i="1"/>
  <c r="AH14" i="1"/>
  <c r="AJ14" i="1" s="1"/>
  <c r="AF14" i="1"/>
  <c r="AG14" i="1" s="1"/>
  <c r="AE14" i="1"/>
  <c r="AA14" i="1"/>
  <c r="Z14" i="1"/>
  <c r="Y14" i="1"/>
  <c r="AR13" i="1"/>
  <c r="AQ13" i="1"/>
  <c r="AS13" i="1" s="1"/>
  <c r="AO13" i="1"/>
  <c r="AP13" i="1" s="1"/>
  <c r="AN13" i="1"/>
  <c r="AL13" i="1"/>
  <c r="AK13" i="1"/>
  <c r="AI13" i="1"/>
  <c r="AH13" i="1"/>
  <c r="AF13" i="1"/>
  <c r="AE13" i="1"/>
  <c r="AA13" i="1"/>
  <c r="Z13" i="1"/>
  <c r="Y13" i="1"/>
  <c r="AR12" i="1"/>
  <c r="AQ12" i="1"/>
  <c r="AO12" i="1"/>
  <c r="AN12" i="1"/>
  <c r="AL12" i="1"/>
  <c r="AK12" i="1"/>
  <c r="AI12" i="1"/>
  <c r="AH12" i="1"/>
  <c r="AF12" i="1"/>
  <c r="AE12" i="1"/>
  <c r="AA12" i="1"/>
  <c r="Z12" i="1"/>
  <c r="Y12" i="1"/>
  <c r="AR11" i="1"/>
  <c r="AQ11" i="1"/>
  <c r="AO11" i="1"/>
  <c r="AN11" i="1"/>
  <c r="AL11" i="1"/>
  <c r="AK11" i="1"/>
  <c r="AI11" i="1"/>
  <c r="AH11" i="1"/>
  <c r="AF11" i="1"/>
  <c r="AE11" i="1"/>
  <c r="AG11" i="1" s="1"/>
  <c r="AA11" i="1"/>
  <c r="Z11" i="1"/>
  <c r="Y11" i="1"/>
  <c r="AR10" i="1"/>
  <c r="AQ10" i="1"/>
  <c r="AS10" i="1" s="1"/>
  <c r="AO10" i="1"/>
  <c r="AN10" i="1"/>
  <c r="AL10" i="1"/>
  <c r="AK10" i="1"/>
  <c r="AI10" i="1"/>
  <c r="AH10" i="1"/>
  <c r="AJ10" i="1" s="1"/>
  <c r="AF10" i="1"/>
  <c r="AE10" i="1"/>
  <c r="AA10" i="1"/>
  <c r="Z10" i="1"/>
  <c r="Y10" i="1"/>
  <c r="AR9" i="1"/>
  <c r="AQ9" i="1"/>
  <c r="AS9" i="1" s="1"/>
  <c r="AO9" i="1"/>
  <c r="AN9" i="1"/>
  <c r="AL9" i="1"/>
  <c r="AK9" i="1"/>
  <c r="AI9" i="1"/>
  <c r="AH9" i="1"/>
  <c r="AF9" i="1"/>
  <c r="AG9" i="1" s="1"/>
  <c r="AE9" i="1"/>
  <c r="AA9" i="1"/>
  <c r="Z9" i="1"/>
  <c r="Y9" i="1"/>
  <c r="AR8" i="1"/>
  <c r="AQ8" i="1"/>
  <c r="AO8" i="1"/>
  <c r="AN8" i="1"/>
  <c r="AL8" i="1"/>
  <c r="AK8" i="1"/>
  <c r="AI8" i="1"/>
  <c r="AH8" i="1"/>
  <c r="AJ8" i="1" s="1"/>
  <c r="AF8" i="1"/>
  <c r="AE8" i="1"/>
  <c r="AA8" i="1"/>
  <c r="Z8" i="1"/>
  <c r="Y8" i="1"/>
  <c r="AR7" i="1"/>
  <c r="AS7" i="1" s="1"/>
  <c r="AQ7" i="1"/>
  <c r="AO7" i="1"/>
  <c r="AN7" i="1"/>
  <c r="AP7" i="1" s="1"/>
  <c r="AL7" i="1"/>
  <c r="AK7" i="1"/>
  <c r="AI7" i="1"/>
  <c r="AH7" i="1"/>
  <c r="AF7" i="1"/>
  <c r="AE7" i="1"/>
  <c r="AG7" i="1" s="1"/>
  <c r="AA7" i="1"/>
  <c r="Z7" i="1"/>
  <c r="Y7" i="1"/>
  <c r="AR6" i="1"/>
  <c r="AQ6" i="1"/>
  <c r="AO6" i="1"/>
  <c r="AN6" i="1"/>
  <c r="AP6" i="1" s="1"/>
  <c r="AL6" i="1"/>
  <c r="AK6" i="1"/>
  <c r="AI6" i="1"/>
  <c r="AH6" i="1"/>
  <c r="AF6" i="1"/>
  <c r="AE6" i="1"/>
  <c r="AA6" i="1"/>
  <c r="Z6" i="1"/>
  <c r="Y6" i="1"/>
  <c r="AR5" i="1"/>
  <c r="AQ5" i="1"/>
  <c r="AP5" i="1"/>
  <c r="AO5" i="1"/>
  <c r="AN5" i="1"/>
  <c r="AL5" i="1"/>
  <c r="AK5" i="1"/>
  <c r="AI5" i="1"/>
  <c r="AH5" i="1"/>
  <c r="AF5" i="1"/>
  <c r="AE5" i="1"/>
  <c r="AA5" i="1"/>
  <c r="Z5" i="1"/>
  <c r="Y5" i="1"/>
  <c r="AR4" i="1"/>
  <c r="AQ4" i="1"/>
  <c r="AO4" i="1"/>
  <c r="AN4" i="1"/>
  <c r="AL4" i="1"/>
  <c r="AK4" i="1"/>
  <c r="AI4" i="1"/>
  <c r="AH4" i="1"/>
  <c r="AF4" i="1"/>
  <c r="AE4" i="1"/>
  <c r="AA4" i="1"/>
  <c r="Z4" i="1"/>
  <c r="Y4" i="1"/>
  <c r="AR3" i="1"/>
  <c r="AQ3" i="1"/>
  <c r="AS3" i="1" s="1"/>
  <c r="AO3" i="1"/>
  <c r="AN3" i="1"/>
  <c r="AL3" i="1"/>
  <c r="AK3" i="1"/>
  <c r="AM3" i="1" s="1"/>
  <c r="AI3" i="1"/>
  <c r="AH3" i="1"/>
  <c r="AF3" i="1"/>
  <c r="AE3" i="1"/>
  <c r="AG3" i="1" s="1"/>
  <c r="AA3" i="1"/>
  <c r="Z3" i="1"/>
  <c r="Y3" i="1"/>
  <c r="AR2" i="1"/>
  <c r="AS2" i="1" s="1"/>
  <c r="AQ2" i="1"/>
  <c r="AO2" i="1"/>
  <c r="AN2" i="1"/>
  <c r="AL2" i="1"/>
  <c r="AK2" i="1"/>
  <c r="AI2" i="1"/>
  <c r="AH2" i="1"/>
  <c r="AJ2" i="1" s="1"/>
  <c r="AF2" i="1"/>
  <c r="AE2" i="1"/>
  <c r="AA2" i="1"/>
  <c r="Z2" i="1"/>
  <c r="Y2" i="1"/>
  <c r="AR163" i="4"/>
  <c r="AQ163" i="4"/>
  <c r="AO163" i="4"/>
  <c r="AN163" i="4"/>
  <c r="AL163" i="4"/>
  <c r="AK163" i="4"/>
  <c r="AI163" i="4"/>
  <c r="AH163" i="4"/>
  <c r="AF163" i="4"/>
  <c r="AE163" i="4"/>
  <c r="AA163" i="4"/>
  <c r="Z163" i="4"/>
  <c r="Y163" i="4"/>
  <c r="AR162" i="4"/>
  <c r="AS162" i="4" s="1"/>
  <c r="AQ162" i="4"/>
  <c r="AO162" i="4"/>
  <c r="AN162" i="4"/>
  <c r="AP162" i="4" s="1"/>
  <c r="AL162" i="4"/>
  <c r="AK162" i="4"/>
  <c r="AM162" i="4" s="1"/>
  <c r="AI162" i="4"/>
  <c r="AH162" i="4"/>
  <c r="AF162" i="4"/>
  <c r="AE162" i="4"/>
  <c r="AG162" i="4" s="1"/>
  <c r="AA162" i="4"/>
  <c r="Z162" i="4"/>
  <c r="Y162" i="4"/>
  <c r="AR161" i="4"/>
  <c r="AQ161" i="4"/>
  <c r="AO161" i="4"/>
  <c r="AN161" i="4"/>
  <c r="AL161" i="4"/>
  <c r="AK161" i="4"/>
  <c r="AM161" i="4" s="1"/>
  <c r="AI161" i="4"/>
  <c r="AH161" i="4"/>
  <c r="AJ161" i="4" s="1"/>
  <c r="AG161" i="4"/>
  <c r="AF161" i="4"/>
  <c r="AE161" i="4"/>
  <c r="AA161" i="4"/>
  <c r="Z161" i="4"/>
  <c r="Y161" i="4"/>
  <c r="AR160" i="4"/>
  <c r="AQ160" i="4"/>
  <c r="AS160" i="4" s="1"/>
  <c r="AO160" i="4"/>
  <c r="AN160" i="4"/>
  <c r="AM160" i="4"/>
  <c r="AL160" i="4"/>
  <c r="AK160" i="4"/>
  <c r="AI160" i="4"/>
  <c r="AH160" i="4"/>
  <c r="AF160" i="4"/>
  <c r="AE160" i="4"/>
  <c r="AA160" i="4"/>
  <c r="Z160" i="4"/>
  <c r="Y160" i="4"/>
  <c r="AR159" i="4"/>
  <c r="AS159" i="4" s="1"/>
  <c r="AQ159" i="4"/>
  <c r="AO159" i="4"/>
  <c r="AN159" i="4"/>
  <c r="AL159" i="4"/>
  <c r="AK159" i="4"/>
  <c r="AI159" i="4"/>
  <c r="AH159" i="4"/>
  <c r="AJ159" i="4" s="1"/>
  <c r="AF159" i="4"/>
  <c r="AE159" i="4"/>
  <c r="AA159" i="4"/>
  <c r="Z159" i="4"/>
  <c r="Y159" i="4"/>
  <c r="AR158" i="4"/>
  <c r="AQ158" i="4"/>
  <c r="AS158" i="4" s="1"/>
  <c r="AO158" i="4"/>
  <c r="AN158" i="4"/>
  <c r="AP158" i="4" s="1"/>
  <c r="AL158" i="4"/>
  <c r="AK158" i="4"/>
  <c r="AM158" i="4" s="1"/>
  <c r="AI158" i="4"/>
  <c r="AH158" i="4"/>
  <c r="AF158" i="4"/>
  <c r="AE158" i="4"/>
  <c r="AG158" i="4" s="1"/>
  <c r="AA158" i="4"/>
  <c r="Z158" i="4"/>
  <c r="Y158" i="4"/>
  <c r="AR157" i="4"/>
  <c r="AQ157" i="4"/>
  <c r="AO157" i="4"/>
  <c r="AN157" i="4"/>
  <c r="AL157" i="4"/>
  <c r="AK157" i="4"/>
  <c r="AI157" i="4"/>
  <c r="AH157" i="4"/>
  <c r="AJ157" i="4" s="1"/>
  <c r="AF157" i="4"/>
  <c r="AE157" i="4"/>
  <c r="AA157" i="4"/>
  <c r="Z157" i="4"/>
  <c r="Y157" i="4"/>
  <c r="AR156" i="4"/>
  <c r="AQ156" i="4"/>
  <c r="AS156" i="4" s="1"/>
  <c r="AO156" i="4"/>
  <c r="AN156" i="4"/>
  <c r="AP156" i="4" s="1"/>
  <c r="AL156" i="4"/>
  <c r="AK156" i="4"/>
  <c r="AI156" i="4"/>
  <c r="AH156" i="4"/>
  <c r="AF156" i="4"/>
  <c r="AE156" i="4"/>
  <c r="AA156" i="4"/>
  <c r="Z156" i="4"/>
  <c r="Y156" i="4"/>
  <c r="AR155" i="4"/>
  <c r="AQ155" i="4"/>
  <c r="AO155" i="4"/>
  <c r="AN155" i="4"/>
  <c r="AL155" i="4"/>
  <c r="AK155" i="4"/>
  <c r="AM155" i="4" s="1"/>
  <c r="AI155" i="4"/>
  <c r="AH155" i="4"/>
  <c r="AF155" i="4"/>
  <c r="AE155" i="4"/>
  <c r="AA155" i="4"/>
  <c r="Z155" i="4"/>
  <c r="Y155" i="4"/>
  <c r="AR154" i="4"/>
  <c r="AQ154" i="4"/>
  <c r="AS154" i="4" s="1"/>
  <c r="AO154" i="4"/>
  <c r="AN154" i="4"/>
  <c r="AP154" i="4" s="1"/>
  <c r="AL154" i="4"/>
  <c r="AM154" i="4" s="1"/>
  <c r="AK154" i="4"/>
  <c r="AI154" i="4"/>
  <c r="AH154" i="4"/>
  <c r="AF154" i="4"/>
  <c r="AE154" i="4"/>
  <c r="AA154" i="4"/>
  <c r="Z154" i="4"/>
  <c r="Y154" i="4"/>
  <c r="AR153" i="4"/>
  <c r="AQ153" i="4"/>
  <c r="AS153" i="4" s="1"/>
  <c r="AO153" i="4"/>
  <c r="AN153" i="4"/>
  <c r="AL153" i="4"/>
  <c r="AK153" i="4"/>
  <c r="AI153" i="4"/>
  <c r="AH153" i="4"/>
  <c r="AF153" i="4"/>
  <c r="AE153" i="4"/>
  <c r="AA153" i="4"/>
  <c r="Z153" i="4"/>
  <c r="Y153" i="4"/>
  <c r="AR152" i="4"/>
  <c r="AQ152" i="4"/>
  <c r="AO152" i="4"/>
  <c r="AN152" i="4"/>
  <c r="AM152" i="4"/>
  <c r="AL152" i="4"/>
  <c r="AK152" i="4"/>
  <c r="AI152" i="4"/>
  <c r="AH152" i="4"/>
  <c r="AF152" i="4"/>
  <c r="AE152" i="4"/>
  <c r="AG152" i="4" s="1"/>
  <c r="AA152" i="4"/>
  <c r="Z152" i="4"/>
  <c r="Y152" i="4"/>
  <c r="AR151" i="4"/>
  <c r="AQ151" i="4"/>
  <c r="AO151" i="4"/>
  <c r="AN151" i="4"/>
  <c r="AL151" i="4"/>
  <c r="AK151" i="4"/>
  <c r="AI151" i="4"/>
  <c r="AH151" i="4"/>
  <c r="AF151" i="4"/>
  <c r="AE151" i="4"/>
  <c r="AA151" i="4"/>
  <c r="Z151" i="4"/>
  <c r="Y151" i="4"/>
  <c r="AR150" i="4"/>
  <c r="AQ150" i="4"/>
  <c r="AO150" i="4"/>
  <c r="AN150" i="4"/>
  <c r="AL150" i="4"/>
  <c r="AK150" i="4"/>
  <c r="AI150" i="4"/>
  <c r="AH150" i="4"/>
  <c r="AF150" i="4"/>
  <c r="AE150" i="4"/>
  <c r="AA150" i="4"/>
  <c r="Z150" i="4"/>
  <c r="Y150" i="4"/>
  <c r="AR149" i="4"/>
  <c r="AS149" i="4" s="1"/>
  <c r="AQ149" i="4"/>
  <c r="AO149" i="4"/>
  <c r="AN149" i="4"/>
  <c r="AP149" i="4" s="1"/>
  <c r="AL149" i="4"/>
  <c r="AK149" i="4"/>
  <c r="AM149" i="4" s="1"/>
  <c r="AJ149" i="4"/>
  <c r="AI149" i="4"/>
  <c r="AH149" i="4"/>
  <c r="AF149" i="4"/>
  <c r="AE149" i="4"/>
  <c r="AG149" i="4" s="1"/>
  <c r="AA149" i="4"/>
  <c r="Z149" i="4"/>
  <c r="Y149" i="4"/>
  <c r="AR148" i="4"/>
  <c r="AQ148" i="4"/>
  <c r="AS148" i="4" s="1"/>
  <c r="AO148" i="4"/>
  <c r="AN148" i="4"/>
  <c r="AL148" i="4"/>
  <c r="AK148" i="4"/>
  <c r="AI148" i="4"/>
  <c r="AH148" i="4"/>
  <c r="AG148" i="4"/>
  <c r="AF148" i="4"/>
  <c r="AE148" i="4"/>
  <c r="AA148" i="4"/>
  <c r="Z148" i="4"/>
  <c r="Y148" i="4"/>
  <c r="AR147" i="4"/>
  <c r="AQ147" i="4"/>
  <c r="AO147" i="4"/>
  <c r="AN147" i="4"/>
  <c r="AL147" i="4"/>
  <c r="AK147" i="4"/>
  <c r="AI147" i="4"/>
  <c r="AH147" i="4"/>
  <c r="AF147" i="4"/>
  <c r="AE147" i="4"/>
  <c r="AA147" i="4"/>
  <c r="Z147" i="4"/>
  <c r="Y147" i="4"/>
  <c r="AR146" i="4"/>
  <c r="AQ146" i="4"/>
  <c r="AS146" i="4" s="1"/>
  <c r="AO146" i="4"/>
  <c r="AN146" i="4"/>
  <c r="AL146" i="4"/>
  <c r="AK146" i="4"/>
  <c r="AI146" i="4"/>
  <c r="AH146" i="4"/>
  <c r="AJ146" i="4" s="1"/>
  <c r="AF146" i="4"/>
  <c r="AE146" i="4"/>
  <c r="AA146" i="4"/>
  <c r="Z146" i="4"/>
  <c r="Y146" i="4"/>
  <c r="AR145" i="4"/>
  <c r="AQ145" i="4"/>
  <c r="AO145" i="4"/>
  <c r="AN145" i="4"/>
  <c r="AL145" i="4"/>
  <c r="AK145" i="4"/>
  <c r="AI145" i="4"/>
  <c r="AH145" i="4"/>
  <c r="AF145" i="4"/>
  <c r="AE145" i="4"/>
  <c r="AA145" i="4"/>
  <c r="Z145" i="4"/>
  <c r="Y145" i="4"/>
  <c r="AR144" i="4"/>
  <c r="AQ144" i="4"/>
  <c r="AS144" i="4" s="1"/>
  <c r="AO144" i="4"/>
  <c r="AN144" i="4"/>
  <c r="AL144" i="4"/>
  <c r="AM144" i="4" s="1"/>
  <c r="AK144" i="4"/>
  <c r="AI144" i="4"/>
  <c r="AH144" i="4"/>
  <c r="AF144" i="4"/>
  <c r="AE144" i="4"/>
  <c r="AA144" i="4"/>
  <c r="Z144" i="4"/>
  <c r="Y144" i="4"/>
  <c r="AR143" i="4"/>
  <c r="AQ143" i="4"/>
  <c r="AS143" i="4" s="1"/>
  <c r="AO143" i="4"/>
  <c r="AN143" i="4"/>
  <c r="AP143" i="4" s="1"/>
  <c r="AL143" i="4"/>
  <c r="AK143" i="4"/>
  <c r="AI143" i="4"/>
  <c r="AH143" i="4"/>
  <c r="AF143" i="4"/>
  <c r="AE143" i="4"/>
  <c r="AA143" i="4"/>
  <c r="Z143" i="4"/>
  <c r="Y143" i="4"/>
  <c r="AR142" i="4"/>
  <c r="AQ142" i="4"/>
  <c r="AO142" i="4"/>
  <c r="AN142" i="4"/>
  <c r="AL142" i="4"/>
  <c r="AK142" i="4"/>
  <c r="AI142" i="4"/>
  <c r="AH142" i="4"/>
  <c r="AF142" i="4"/>
  <c r="AE142" i="4"/>
  <c r="AA142" i="4"/>
  <c r="Z142" i="4"/>
  <c r="Y142" i="4"/>
  <c r="AR141" i="4"/>
  <c r="AQ141" i="4"/>
  <c r="AS141" i="4" s="1"/>
  <c r="AO141" i="4"/>
  <c r="AN141" i="4"/>
  <c r="AL141" i="4"/>
  <c r="AK141" i="4"/>
  <c r="AI141" i="4"/>
  <c r="AH141" i="4"/>
  <c r="AJ141" i="4" s="1"/>
  <c r="AF141" i="4"/>
  <c r="AE141" i="4"/>
  <c r="AA141" i="4"/>
  <c r="Z141" i="4"/>
  <c r="Y141" i="4"/>
  <c r="AR140" i="4"/>
  <c r="AQ140" i="4"/>
  <c r="AO140" i="4"/>
  <c r="AN140" i="4"/>
  <c r="AL140" i="4"/>
  <c r="AK140" i="4"/>
  <c r="AM140" i="4" s="1"/>
  <c r="AI140" i="4"/>
  <c r="AH140" i="4"/>
  <c r="AF140" i="4"/>
  <c r="AE140" i="4"/>
  <c r="AA140" i="4"/>
  <c r="Z140" i="4"/>
  <c r="Y140" i="4"/>
  <c r="AR139" i="4"/>
  <c r="AQ139" i="4"/>
  <c r="AO139" i="4"/>
  <c r="AN139" i="4"/>
  <c r="AL139" i="4"/>
  <c r="AK139" i="4"/>
  <c r="AI139" i="4"/>
  <c r="AH139" i="4"/>
  <c r="AF139" i="4"/>
  <c r="AE139" i="4"/>
  <c r="AG139" i="4" s="1"/>
  <c r="AA139" i="4"/>
  <c r="Z139" i="4"/>
  <c r="Y139" i="4"/>
  <c r="AR138" i="4"/>
  <c r="AQ138" i="4"/>
  <c r="AS138" i="4" s="1"/>
  <c r="AO138" i="4"/>
  <c r="AN138" i="4"/>
  <c r="AL138" i="4"/>
  <c r="AK138" i="4"/>
  <c r="AI138" i="4"/>
  <c r="AH138" i="4"/>
  <c r="AF138" i="4"/>
  <c r="AE138" i="4"/>
  <c r="AA138" i="4"/>
  <c r="Z138" i="4"/>
  <c r="Y138" i="4"/>
  <c r="AR137" i="4"/>
  <c r="AQ137" i="4"/>
  <c r="AO137" i="4"/>
  <c r="AP137" i="4" s="1"/>
  <c r="AN137" i="4"/>
  <c r="AL137" i="4"/>
  <c r="AK137" i="4"/>
  <c r="AI137" i="4"/>
  <c r="AH137" i="4"/>
  <c r="AF137" i="4"/>
  <c r="AE137" i="4"/>
  <c r="AA137" i="4"/>
  <c r="Z137" i="4"/>
  <c r="Y137" i="4"/>
  <c r="AR136" i="4"/>
  <c r="AS136" i="4" s="1"/>
  <c r="AQ136" i="4"/>
  <c r="AO136" i="4"/>
  <c r="AN136" i="4"/>
  <c r="AL136" i="4"/>
  <c r="AK136" i="4"/>
  <c r="AJ136" i="4"/>
  <c r="AI136" i="4"/>
  <c r="AH136" i="4"/>
  <c r="AF136" i="4"/>
  <c r="AE136" i="4"/>
  <c r="AA136" i="4"/>
  <c r="Z136" i="4"/>
  <c r="Y136" i="4"/>
  <c r="AR135" i="4"/>
  <c r="AQ135" i="4"/>
  <c r="AO135" i="4"/>
  <c r="AP135" i="4" s="1"/>
  <c r="AN135" i="4"/>
  <c r="AL135" i="4"/>
  <c r="AK135" i="4"/>
  <c r="AI135" i="4"/>
  <c r="AH135" i="4"/>
  <c r="AJ135" i="4" s="1"/>
  <c r="AF135" i="4"/>
  <c r="AE135" i="4"/>
  <c r="AA135" i="4"/>
  <c r="Z135" i="4"/>
  <c r="Y135" i="4"/>
  <c r="AR134" i="4"/>
  <c r="AQ134" i="4"/>
  <c r="AO134" i="4"/>
  <c r="AN134" i="4"/>
  <c r="AP134" i="4" s="1"/>
  <c r="AL134" i="4"/>
  <c r="AK134" i="4"/>
  <c r="AI134" i="4"/>
  <c r="AH134" i="4"/>
  <c r="AJ134" i="4" s="1"/>
  <c r="AF134" i="4"/>
  <c r="AE134" i="4"/>
  <c r="AA134" i="4"/>
  <c r="Z134" i="4"/>
  <c r="Y134" i="4"/>
  <c r="AR133" i="4"/>
  <c r="AQ133" i="4"/>
  <c r="AS133" i="4" s="1"/>
  <c r="AO133" i="4"/>
  <c r="AN133" i="4"/>
  <c r="AL133" i="4"/>
  <c r="AK133" i="4"/>
  <c r="AI133" i="4"/>
  <c r="AH133" i="4"/>
  <c r="AJ133" i="4" s="1"/>
  <c r="AF133" i="4"/>
  <c r="AE133" i="4"/>
  <c r="AG133" i="4" s="1"/>
  <c r="AA133" i="4"/>
  <c r="Z133" i="4"/>
  <c r="Y133" i="4"/>
  <c r="AR132" i="4"/>
  <c r="AQ132" i="4"/>
  <c r="AO132" i="4"/>
  <c r="AN132" i="4"/>
  <c r="AL132" i="4"/>
  <c r="AK132" i="4"/>
  <c r="AM132" i="4" s="1"/>
  <c r="AI132" i="4"/>
  <c r="AH132" i="4"/>
  <c r="AF132" i="4"/>
  <c r="AE132" i="4"/>
  <c r="AA132" i="4"/>
  <c r="Z132" i="4"/>
  <c r="Y132" i="4"/>
  <c r="AR131" i="4"/>
  <c r="AQ131" i="4"/>
  <c r="AO131" i="4"/>
  <c r="AN131" i="4"/>
  <c r="AL131" i="4"/>
  <c r="AK131" i="4"/>
  <c r="AI131" i="4"/>
  <c r="AH131" i="4"/>
  <c r="AJ131" i="4" s="1"/>
  <c r="AF131" i="4"/>
  <c r="AE131" i="4"/>
  <c r="AA131" i="4"/>
  <c r="Z131" i="4"/>
  <c r="Y131" i="4"/>
  <c r="AR130" i="4"/>
  <c r="AQ130" i="4"/>
  <c r="AS130" i="4" s="1"/>
  <c r="AO130" i="4"/>
  <c r="AN130" i="4"/>
  <c r="AL130" i="4"/>
  <c r="AK130" i="4"/>
  <c r="AI130" i="4"/>
  <c r="AH130" i="4"/>
  <c r="AJ130" i="4" s="1"/>
  <c r="AF130" i="4"/>
  <c r="AE130" i="4"/>
  <c r="AA130" i="4"/>
  <c r="Z130" i="4"/>
  <c r="Y130" i="4"/>
  <c r="AR129" i="4"/>
  <c r="AQ129" i="4"/>
  <c r="AO129" i="4"/>
  <c r="AN129" i="4"/>
  <c r="AL129" i="4"/>
  <c r="AK129" i="4"/>
  <c r="AI129" i="4"/>
  <c r="AH129" i="4"/>
  <c r="AF129" i="4"/>
  <c r="AE129" i="4"/>
  <c r="AA129" i="4"/>
  <c r="Z129" i="4"/>
  <c r="Y129" i="4"/>
  <c r="AR128" i="4"/>
  <c r="AQ128" i="4"/>
  <c r="AS128" i="4" s="1"/>
  <c r="AO128" i="4"/>
  <c r="AN128" i="4"/>
  <c r="AP128" i="4" s="1"/>
  <c r="AL128" i="4"/>
  <c r="AK128" i="4"/>
  <c r="AI128" i="4"/>
  <c r="AH128" i="4"/>
  <c r="AF128" i="4"/>
  <c r="AG128" i="4" s="1"/>
  <c r="AE128" i="4"/>
  <c r="AA128" i="4"/>
  <c r="Z128" i="4"/>
  <c r="Y128" i="4"/>
  <c r="AR127" i="4"/>
  <c r="AQ127" i="4"/>
  <c r="AO127" i="4"/>
  <c r="AN127" i="4"/>
  <c r="AM127" i="4"/>
  <c r="AL127" i="4"/>
  <c r="AK127" i="4"/>
  <c r="AJ127" i="4"/>
  <c r="AI127" i="4"/>
  <c r="AH127" i="4"/>
  <c r="AF127" i="4"/>
  <c r="AE127" i="4"/>
  <c r="AG127" i="4" s="1"/>
  <c r="AA127" i="4"/>
  <c r="Z127" i="4"/>
  <c r="Y127" i="4"/>
  <c r="AR126" i="4"/>
  <c r="AQ126" i="4"/>
  <c r="AS126" i="4" s="1"/>
  <c r="AO126" i="4"/>
  <c r="AN126" i="4"/>
  <c r="AP126" i="4" s="1"/>
  <c r="AL126" i="4"/>
  <c r="AK126" i="4"/>
  <c r="AI126" i="4"/>
  <c r="AH126" i="4"/>
  <c r="AF126" i="4"/>
  <c r="AE126" i="4"/>
  <c r="AA126" i="4"/>
  <c r="Z126" i="4"/>
  <c r="Y126" i="4"/>
  <c r="AR125" i="4"/>
  <c r="AQ125" i="4"/>
  <c r="AO125" i="4"/>
  <c r="AN125" i="4"/>
  <c r="AL125" i="4"/>
  <c r="AK125" i="4"/>
  <c r="AM125" i="4" s="1"/>
  <c r="AI125" i="4"/>
  <c r="AH125" i="4"/>
  <c r="AF125" i="4"/>
  <c r="AE125" i="4"/>
  <c r="AA125" i="4"/>
  <c r="Z125" i="4"/>
  <c r="Y125" i="4"/>
  <c r="AR124" i="4"/>
  <c r="AQ124" i="4"/>
  <c r="AS124" i="4" s="1"/>
  <c r="AO124" i="4"/>
  <c r="AN124" i="4"/>
  <c r="AL124" i="4"/>
  <c r="AK124" i="4"/>
  <c r="AI124" i="4"/>
  <c r="AH124" i="4"/>
  <c r="AF124" i="4"/>
  <c r="AE124" i="4"/>
  <c r="AA124" i="4"/>
  <c r="Z124" i="4"/>
  <c r="Y124" i="4"/>
  <c r="AR123" i="4"/>
  <c r="AQ123" i="4"/>
  <c r="AO123" i="4"/>
  <c r="AN123" i="4"/>
  <c r="AP123" i="4" s="1"/>
  <c r="AL123" i="4"/>
  <c r="AK123" i="4"/>
  <c r="AI123" i="4"/>
  <c r="AH123" i="4"/>
  <c r="AF123" i="4"/>
  <c r="AE123" i="4"/>
  <c r="AA123" i="4"/>
  <c r="Z123" i="4"/>
  <c r="Y123" i="4"/>
  <c r="AR122" i="4"/>
  <c r="AQ122" i="4"/>
  <c r="AO122" i="4"/>
  <c r="AN122" i="4"/>
  <c r="AL122" i="4"/>
  <c r="AK122" i="4"/>
  <c r="AI122" i="4"/>
  <c r="AH122" i="4"/>
  <c r="AF122" i="4"/>
  <c r="AE122" i="4"/>
  <c r="AA122" i="4"/>
  <c r="Z122" i="4"/>
  <c r="Y122" i="4"/>
  <c r="AR121" i="4"/>
  <c r="AQ121" i="4"/>
  <c r="AS121" i="4" s="1"/>
  <c r="AO121" i="4"/>
  <c r="AN121" i="4"/>
  <c r="AL121" i="4"/>
  <c r="AK121" i="4"/>
  <c r="AI121" i="4"/>
  <c r="AH121" i="4"/>
  <c r="AF121" i="4"/>
  <c r="AE121" i="4"/>
  <c r="AA121" i="4"/>
  <c r="Z121" i="4"/>
  <c r="Y121" i="4"/>
  <c r="AR120" i="4"/>
  <c r="AQ120" i="4"/>
  <c r="AO120" i="4"/>
  <c r="AN120" i="4"/>
  <c r="AP120" i="4" s="1"/>
  <c r="AL120" i="4"/>
  <c r="AK120" i="4"/>
  <c r="AI120" i="4"/>
  <c r="AH120" i="4"/>
  <c r="AJ120" i="4" s="1"/>
  <c r="AF120" i="4"/>
  <c r="AE120" i="4"/>
  <c r="AG120" i="4" s="1"/>
  <c r="AA120" i="4"/>
  <c r="Z120" i="4"/>
  <c r="Y120" i="4"/>
  <c r="AR119" i="4"/>
  <c r="AQ119" i="4"/>
  <c r="AS119" i="4" s="1"/>
  <c r="AO119" i="4"/>
  <c r="AN119" i="4"/>
  <c r="AL119" i="4"/>
  <c r="AK119" i="4"/>
  <c r="AI119" i="4"/>
  <c r="AH119" i="4"/>
  <c r="AF119" i="4"/>
  <c r="AE119" i="4"/>
  <c r="AA119" i="4"/>
  <c r="Z119" i="4"/>
  <c r="Y119" i="4"/>
  <c r="AR118" i="4"/>
  <c r="AQ118" i="4"/>
  <c r="AS118" i="4" s="1"/>
  <c r="AO118" i="4"/>
  <c r="AN118" i="4"/>
  <c r="AL118" i="4"/>
  <c r="AK118" i="4"/>
  <c r="AM118" i="4" s="1"/>
  <c r="AI118" i="4"/>
  <c r="AH118" i="4"/>
  <c r="AJ118" i="4" s="1"/>
  <c r="AF118" i="4"/>
  <c r="AE118" i="4"/>
  <c r="AA118" i="4"/>
  <c r="Z118" i="4"/>
  <c r="Y118" i="4"/>
  <c r="AR117" i="4"/>
  <c r="AQ117" i="4"/>
  <c r="AO117" i="4"/>
  <c r="AN117" i="4"/>
  <c r="AL117" i="4"/>
  <c r="AK117" i="4"/>
  <c r="AI117" i="4"/>
  <c r="AJ117" i="4" s="1"/>
  <c r="AH117" i="4"/>
  <c r="AF117" i="4"/>
  <c r="AE117" i="4"/>
  <c r="AG117" i="4" s="1"/>
  <c r="AA117" i="4"/>
  <c r="Z117" i="4"/>
  <c r="Y117" i="4"/>
  <c r="AR116" i="4"/>
  <c r="AQ116" i="4"/>
  <c r="AS116" i="4" s="1"/>
  <c r="AO116" i="4"/>
  <c r="AN116" i="4"/>
  <c r="AL116" i="4"/>
  <c r="AK116" i="4"/>
  <c r="AI116" i="4"/>
  <c r="AH116" i="4"/>
  <c r="AF116" i="4"/>
  <c r="AE116" i="4"/>
  <c r="AA116" i="4"/>
  <c r="Z116" i="4"/>
  <c r="Y116" i="4"/>
  <c r="AR115" i="4"/>
  <c r="AQ115" i="4"/>
  <c r="AO115" i="4"/>
  <c r="AN115" i="4"/>
  <c r="AL115" i="4"/>
  <c r="AK115" i="4"/>
  <c r="AI115" i="4"/>
  <c r="AH115" i="4"/>
  <c r="AF115" i="4"/>
  <c r="AE115" i="4"/>
  <c r="AG115" i="4" s="1"/>
  <c r="AA115" i="4"/>
  <c r="Z115" i="4"/>
  <c r="Y115" i="4"/>
  <c r="AR114" i="4"/>
  <c r="AQ114" i="4"/>
  <c r="AO114" i="4"/>
  <c r="AN114" i="4"/>
  <c r="AP114" i="4" s="1"/>
  <c r="AL114" i="4"/>
  <c r="AK114" i="4"/>
  <c r="AI114" i="4"/>
  <c r="AH114" i="4"/>
  <c r="AJ114" i="4" s="1"/>
  <c r="AF114" i="4"/>
  <c r="AE114" i="4"/>
  <c r="AA114" i="4"/>
  <c r="Z114" i="4"/>
  <c r="Y114" i="4"/>
  <c r="AR110" i="4"/>
  <c r="AQ110" i="4"/>
  <c r="AO110" i="4"/>
  <c r="AN110" i="4"/>
  <c r="AL110" i="4"/>
  <c r="AK110" i="4"/>
  <c r="AM110" i="4" s="1"/>
  <c r="AI110" i="4"/>
  <c r="AH110" i="4"/>
  <c r="AF110" i="4"/>
  <c r="AE110" i="4"/>
  <c r="AA110" i="4"/>
  <c r="Z110" i="4"/>
  <c r="Y110" i="4"/>
  <c r="AR109" i="4"/>
  <c r="AQ109" i="4"/>
  <c r="AS109" i="4" s="1"/>
  <c r="AO109" i="4"/>
  <c r="AN109" i="4"/>
  <c r="AL109" i="4"/>
  <c r="AM109" i="4" s="1"/>
  <c r="AK109" i="4"/>
  <c r="AI109" i="4"/>
  <c r="AH109" i="4"/>
  <c r="AF109" i="4"/>
  <c r="AE109" i="4"/>
  <c r="AA109" i="4"/>
  <c r="Z109" i="4"/>
  <c r="Y109" i="4"/>
  <c r="AR108" i="4"/>
  <c r="AQ108" i="4"/>
  <c r="AO108" i="4"/>
  <c r="AN108" i="4"/>
  <c r="AP108" i="4" s="1"/>
  <c r="AL108" i="4"/>
  <c r="AK108" i="4"/>
  <c r="AI108" i="4"/>
  <c r="AH108" i="4"/>
  <c r="AF108" i="4"/>
  <c r="AE108" i="4"/>
  <c r="AA108" i="4"/>
  <c r="Z108" i="4"/>
  <c r="Y108" i="4"/>
  <c r="AR107" i="4"/>
  <c r="AQ107" i="4"/>
  <c r="AO107" i="4"/>
  <c r="AN107" i="4"/>
  <c r="AL107" i="4"/>
  <c r="AK107" i="4"/>
  <c r="AI107" i="4"/>
  <c r="AH107" i="4"/>
  <c r="AJ107" i="4" s="1"/>
  <c r="AF107" i="4"/>
  <c r="AE107" i="4"/>
  <c r="AA107" i="4"/>
  <c r="Z107" i="4"/>
  <c r="Y107" i="4"/>
  <c r="AR106" i="4"/>
  <c r="AQ106" i="4"/>
  <c r="AS106" i="4" s="1"/>
  <c r="AO106" i="4"/>
  <c r="AN106" i="4"/>
  <c r="AP106" i="4" s="1"/>
  <c r="AL106" i="4"/>
  <c r="AK106" i="4"/>
  <c r="AI106" i="4"/>
  <c r="AH106" i="4"/>
  <c r="AF106" i="4"/>
  <c r="AE106" i="4"/>
  <c r="AG106" i="4" s="1"/>
  <c r="AA106" i="4"/>
  <c r="Z106" i="4"/>
  <c r="Y106" i="4"/>
  <c r="AR105" i="4"/>
  <c r="AQ105" i="4"/>
  <c r="AO105" i="4"/>
  <c r="AN105" i="4"/>
  <c r="AL105" i="4"/>
  <c r="AK105" i="4"/>
  <c r="AI105" i="4"/>
  <c r="AH105" i="4"/>
  <c r="AF105" i="4"/>
  <c r="AE105" i="4"/>
  <c r="AA105" i="4"/>
  <c r="Z105" i="4"/>
  <c r="Y105" i="4"/>
  <c r="AR104" i="4"/>
  <c r="AQ104" i="4"/>
  <c r="AS104" i="4" s="1"/>
  <c r="AO104" i="4"/>
  <c r="AN104" i="4"/>
  <c r="AL104" i="4"/>
  <c r="AK104" i="4"/>
  <c r="AI104" i="4"/>
  <c r="AH104" i="4"/>
  <c r="AJ104" i="4" s="1"/>
  <c r="AF104" i="4"/>
  <c r="AE104" i="4"/>
  <c r="AA104" i="4"/>
  <c r="Z104" i="4"/>
  <c r="Y104" i="4"/>
  <c r="AR103" i="4"/>
  <c r="AQ103" i="4"/>
  <c r="AO103" i="4"/>
  <c r="AN103" i="4"/>
  <c r="AL103" i="4"/>
  <c r="AK103" i="4"/>
  <c r="AI103" i="4"/>
  <c r="AH103" i="4"/>
  <c r="AF103" i="4"/>
  <c r="AE103" i="4"/>
  <c r="AG103" i="4" s="1"/>
  <c r="AA103" i="4"/>
  <c r="Z103" i="4"/>
  <c r="Y103" i="4"/>
  <c r="AR102" i="4"/>
  <c r="AQ102" i="4"/>
  <c r="AO102" i="4"/>
  <c r="AN102" i="4"/>
  <c r="AL102" i="4"/>
  <c r="AK102" i="4"/>
  <c r="AI102" i="4"/>
  <c r="AH102" i="4"/>
  <c r="AF102" i="4"/>
  <c r="AE102" i="4"/>
  <c r="AG102" i="4" s="1"/>
  <c r="AA102" i="4"/>
  <c r="Z102" i="4"/>
  <c r="Y102" i="4"/>
  <c r="AR101" i="4"/>
  <c r="AQ101" i="4"/>
  <c r="AO101" i="4"/>
  <c r="AN101" i="4"/>
  <c r="AP101" i="4" s="1"/>
  <c r="AL101" i="4"/>
  <c r="AK101" i="4"/>
  <c r="AI101" i="4"/>
  <c r="AJ101" i="4" s="1"/>
  <c r="AH101" i="4"/>
  <c r="AF101" i="4"/>
  <c r="AE101" i="4"/>
  <c r="AG101" i="4" s="1"/>
  <c r="AA101" i="4"/>
  <c r="Z101" i="4"/>
  <c r="Y101" i="4"/>
  <c r="AR100" i="4"/>
  <c r="AQ100" i="4"/>
  <c r="AO100" i="4"/>
  <c r="AN100" i="4"/>
  <c r="AL100" i="4"/>
  <c r="AK100" i="4"/>
  <c r="AI100" i="4"/>
  <c r="AH100" i="4"/>
  <c r="AJ100" i="4" s="1"/>
  <c r="AF100" i="4"/>
  <c r="AE100" i="4"/>
  <c r="AA100" i="4"/>
  <c r="Z100" i="4"/>
  <c r="Y100" i="4"/>
  <c r="AR99" i="4"/>
  <c r="AQ99" i="4"/>
  <c r="AO99" i="4"/>
  <c r="AN99" i="4"/>
  <c r="AL99" i="4"/>
  <c r="AM99" i="4" s="1"/>
  <c r="AK99" i="4"/>
  <c r="AI99" i="4"/>
  <c r="AH99" i="4"/>
  <c r="AJ99" i="4" s="1"/>
  <c r="AF99" i="4"/>
  <c r="AE99" i="4"/>
  <c r="AA99" i="4"/>
  <c r="Z99" i="4"/>
  <c r="Y99" i="4"/>
  <c r="AR98" i="4"/>
  <c r="AS98" i="4" s="1"/>
  <c r="AQ98" i="4"/>
  <c r="AO98" i="4"/>
  <c r="AN98" i="4"/>
  <c r="AL98" i="4"/>
  <c r="AK98" i="4"/>
  <c r="AI98" i="4"/>
  <c r="AH98" i="4"/>
  <c r="AF98" i="4"/>
  <c r="AE98" i="4"/>
  <c r="AA98" i="4"/>
  <c r="Z98" i="4"/>
  <c r="Y98" i="4"/>
  <c r="AR97" i="4"/>
  <c r="AQ97" i="4"/>
  <c r="AO97" i="4"/>
  <c r="AN97" i="4"/>
  <c r="AP97" i="4" s="1"/>
  <c r="AL97" i="4"/>
  <c r="AK97" i="4"/>
  <c r="AM97" i="4" s="1"/>
  <c r="AI97" i="4"/>
  <c r="AH97" i="4"/>
  <c r="AJ97" i="4" s="1"/>
  <c r="AF97" i="4"/>
  <c r="AE97" i="4"/>
  <c r="AG97" i="4" s="1"/>
  <c r="AA97" i="4"/>
  <c r="Z97" i="4"/>
  <c r="Y97" i="4"/>
  <c r="AR96" i="4"/>
  <c r="AQ96" i="4"/>
  <c r="AS96" i="4" s="1"/>
  <c r="AO96" i="4"/>
  <c r="AN96" i="4"/>
  <c r="AP96" i="4" s="1"/>
  <c r="AL96" i="4"/>
  <c r="AK96" i="4"/>
  <c r="AI96" i="4"/>
  <c r="AH96" i="4"/>
  <c r="AF96" i="4"/>
  <c r="AE96" i="4"/>
  <c r="AA96" i="4"/>
  <c r="Z96" i="4"/>
  <c r="Y96" i="4"/>
  <c r="AR95" i="4"/>
  <c r="AQ95" i="4"/>
  <c r="AS95" i="4" s="1"/>
  <c r="AO95" i="4"/>
  <c r="AN95" i="4"/>
  <c r="AL95" i="4"/>
  <c r="AK95" i="4"/>
  <c r="AM95" i="4" s="1"/>
  <c r="AI95" i="4"/>
  <c r="AH95" i="4"/>
  <c r="AJ95" i="4" s="1"/>
  <c r="AF95" i="4"/>
  <c r="AE95" i="4"/>
  <c r="AA95" i="4"/>
  <c r="Z95" i="4"/>
  <c r="Y95" i="4"/>
  <c r="AR94" i="4"/>
  <c r="AQ94" i="4"/>
  <c r="AS94" i="4" s="1"/>
  <c r="AO94" i="4"/>
  <c r="AN94" i="4"/>
  <c r="AL94" i="4"/>
  <c r="AK94" i="4"/>
  <c r="AI94" i="4"/>
  <c r="AH94" i="4"/>
  <c r="AF94" i="4"/>
  <c r="AE94" i="4"/>
  <c r="AA94" i="4"/>
  <c r="Z94" i="4"/>
  <c r="Y94" i="4"/>
  <c r="AR93" i="4"/>
  <c r="AQ93" i="4"/>
  <c r="AO93" i="4"/>
  <c r="AN93" i="4"/>
  <c r="AP93" i="4" s="1"/>
  <c r="AL93" i="4"/>
  <c r="AK93" i="4"/>
  <c r="AM93" i="4" s="1"/>
  <c r="AI93" i="4"/>
  <c r="AH93" i="4"/>
  <c r="AF93" i="4"/>
  <c r="AE93" i="4"/>
  <c r="AA93" i="4"/>
  <c r="Z93" i="4"/>
  <c r="Y93" i="4"/>
  <c r="AR92" i="4"/>
  <c r="AQ92" i="4"/>
  <c r="AO92" i="4"/>
  <c r="AN92" i="4"/>
  <c r="AL92" i="4"/>
  <c r="AM92" i="4" s="1"/>
  <c r="AK92" i="4"/>
  <c r="AI92" i="4"/>
  <c r="AH92" i="4"/>
  <c r="AF92" i="4"/>
  <c r="AE92" i="4"/>
  <c r="AA92" i="4"/>
  <c r="Z92" i="4"/>
  <c r="Y92" i="4"/>
  <c r="AR91" i="4"/>
  <c r="AQ91" i="4"/>
  <c r="AS91" i="4" s="1"/>
  <c r="AO91" i="4"/>
  <c r="AN91" i="4"/>
  <c r="AL91" i="4"/>
  <c r="AK91" i="4"/>
  <c r="AM91" i="4" s="1"/>
  <c r="AI91" i="4"/>
  <c r="AH91" i="4"/>
  <c r="AF91" i="4"/>
  <c r="AE91" i="4"/>
  <c r="AG91" i="4" s="1"/>
  <c r="AA91" i="4"/>
  <c r="Z91" i="4"/>
  <c r="Y91" i="4"/>
  <c r="AR90" i="4"/>
  <c r="AQ90" i="4"/>
  <c r="AO90" i="4"/>
  <c r="AN90" i="4"/>
  <c r="AL90" i="4"/>
  <c r="AM90" i="4" s="1"/>
  <c r="AK90" i="4"/>
  <c r="AI90" i="4"/>
  <c r="AH90" i="4"/>
  <c r="AJ90" i="4" s="1"/>
  <c r="AF90" i="4"/>
  <c r="AE90" i="4"/>
  <c r="AA90" i="4"/>
  <c r="Z90" i="4"/>
  <c r="Y90" i="4"/>
  <c r="AR89" i="4"/>
  <c r="AQ89" i="4"/>
  <c r="AS89" i="4" s="1"/>
  <c r="AO89" i="4"/>
  <c r="AN89" i="4"/>
  <c r="AL89" i="4"/>
  <c r="AK89" i="4"/>
  <c r="AI89" i="4"/>
  <c r="AH89" i="4"/>
  <c r="AF89" i="4"/>
  <c r="AE89" i="4"/>
  <c r="AA89" i="4"/>
  <c r="Z89" i="4"/>
  <c r="Y89" i="4"/>
  <c r="AR88" i="4"/>
  <c r="AQ88" i="4"/>
  <c r="AO88" i="4"/>
  <c r="AN88" i="4"/>
  <c r="AL88" i="4"/>
  <c r="AK88" i="4"/>
  <c r="AI88" i="4"/>
  <c r="AH88" i="4"/>
  <c r="AF88" i="4"/>
  <c r="AE88" i="4"/>
  <c r="AA88" i="4"/>
  <c r="Z88" i="4"/>
  <c r="Y88" i="4"/>
  <c r="AR87" i="4"/>
  <c r="AQ87" i="4"/>
  <c r="AS87" i="4" s="1"/>
  <c r="AO87" i="4"/>
  <c r="AN87" i="4"/>
  <c r="AL87" i="4"/>
  <c r="AK87" i="4"/>
  <c r="AI87" i="4"/>
  <c r="AH87" i="4"/>
  <c r="AF87" i="4"/>
  <c r="AE87" i="4"/>
  <c r="AG87" i="4" s="1"/>
  <c r="AA87" i="4"/>
  <c r="Z87" i="4"/>
  <c r="Y87" i="4"/>
  <c r="AR86" i="4"/>
  <c r="AQ86" i="4"/>
  <c r="AO86" i="4"/>
  <c r="AN86" i="4"/>
  <c r="AP86" i="4" s="1"/>
  <c r="AL86" i="4"/>
  <c r="AK86" i="4"/>
  <c r="AI86" i="4"/>
  <c r="AH86" i="4"/>
  <c r="AJ86" i="4" s="1"/>
  <c r="AF86" i="4"/>
  <c r="AE86" i="4"/>
  <c r="AG86" i="4" s="1"/>
  <c r="AA86" i="4"/>
  <c r="Z86" i="4"/>
  <c r="Y86" i="4"/>
  <c r="AR85" i="4"/>
  <c r="AQ85" i="4"/>
  <c r="AO85" i="4"/>
  <c r="AN85" i="4"/>
  <c r="AL85" i="4"/>
  <c r="AK85" i="4"/>
  <c r="AI85" i="4"/>
  <c r="AH85" i="4"/>
  <c r="AF85" i="4"/>
  <c r="AE85" i="4"/>
  <c r="AA85" i="4"/>
  <c r="Z85" i="4"/>
  <c r="Y85" i="4"/>
  <c r="AR84" i="4"/>
  <c r="AQ84" i="4"/>
  <c r="AS84" i="4" s="1"/>
  <c r="AO84" i="4"/>
  <c r="AN84" i="4"/>
  <c r="AL84" i="4"/>
  <c r="AK84" i="4"/>
  <c r="AI84" i="4"/>
  <c r="AH84" i="4"/>
  <c r="AJ84" i="4" s="1"/>
  <c r="AF84" i="4"/>
  <c r="AE84" i="4"/>
  <c r="AA84" i="4"/>
  <c r="Z84" i="4"/>
  <c r="Y84" i="4"/>
  <c r="AR83" i="4"/>
  <c r="AQ83" i="4"/>
  <c r="AS83" i="4" s="1"/>
  <c r="AO83" i="4"/>
  <c r="AN83" i="4"/>
  <c r="AL83" i="4"/>
  <c r="AK83" i="4"/>
  <c r="AI83" i="4"/>
  <c r="AH83" i="4"/>
  <c r="AF83" i="4"/>
  <c r="AE83" i="4"/>
  <c r="AA83" i="4"/>
  <c r="Z83" i="4"/>
  <c r="Y83" i="4"/>
  <c r="AR82" i="4"/>
  <c r="AS82" i="4" s="1"/>
  <c r="AQ82" i="4"/>
  <c r="AO82" i="4"/>
  <c r="AN82" i="4"/>
  <c r="AL82" i="4"/>
  <c r="AK82" i="4"/>
  <c r="AI82" i="4"/>
  <c r="AH82" i="4"/>
  <c r="AF82" i="4"/>
  <c r="AE82" i="4"/>
  <c r="AA82" i="4"/>
  <c r="Z82" i="4"/>
  <c r="Y82" i="4"/>
  <c r="AR81" i="4"/>
  <c r="AQ81" i="4"/>
  <c r="AO81" i="4"/>
  <c r="AN81" i="4"/>
  <c r="AP81" i="4" s="1"/>
  <c r="AL81" i="4"/>
  <c r="AK81" i="4"/>
  <c r="AI81" i="4"/>
  <c r="AJ81" i="4" s="1"/>
  <c r="AH81" i="4"/>
  <c r="AF81" i="4"/>
  <c r="AE81" i="4"/>
  <c r="AA81" i="4"/>
  <c r="Z81" i="4"/>
  <c r="Y81" i="4"/>
  <c r="AR80" i="4"/>
  <c r="AQ80" i="4"/>
  <c r="AO80" i="4"/>
  <c r="AN80" i="4"/>
  <c r="AL80" i="4"/>
  <c r="AK80" i="4"/>
  <c r="AI80" i="4"/>
  <c r="AH80" i="4"/>
  <c r="AF80" i="4"/>
  <c r="AE80" i="4"/>
  <c r="AG80" i="4" s="1"/>
  <c r="AA80" i="4"/>
  <c r="Z80" i="4"/>
  <c r="Y80" i="4"/>
  <c r="AR79" i="4"/>
  <c r="AQ79" i="4"/>
  <c r="AS79" i="4" s="1"/>
  <c r="AO79" i="4"/>
  <c r="AN79" i="4"/>
  <c r="AP79" i="4" s="1"/>
  <c r="AL79" i="4"/>
  <c r="AK79" i="4"/>
  <c r="AI79" i="4"/>
  <c r="AH79" i="4"/>
  <c r="AF79" i="4"/>
  <c r="AG79" i="4" s="1"/>
  <c r="AE79" i="4"/>
  <c r="AA79" i="4"/>
  <c r="Z79" i="4"/>
  <c r="Y79" i="4"/>
  <c r="AR78" i="4"/>
  <c r="AQ78" i="4"/>
  <c r="AS78" i="4" s="1"/>
  <c r="AO78" i="4"/>
  <c r="AN78" i="4"/>
  <c r="AL78" i="4"/>
  <c r="AK78" i="4"/>
  <c r="AM78" i="4" s="1"/>
  <c r="AI78" i="4"/>
  <c r="AH78" i="4"/>
  <c r="AF78" i="4"/>
  <c r="AE78" i="4"/>
  <c r="AG78" i="4" s="1"/>
  <c r="AA78" i="4"/>
  <c r="Z78" i="4"/>
  <c r="Y78" i="4"/>
  <c r="AR77" i="4"/>
  <c r="AS77" i="4" s="1"/>
  <c r="AQ77" i="4"/>
  <c r="AO77" i="4"/>
  <c r="AN77" i="4"/>
  <c r="AP77" i="4" s="1"/>
  <c r="AL77" i="4"/>
  <c r="AK77" i="4"/>
  <c r="AM77" i="4" s="1"/>
  <c r="AI77" i="4"/>
  <c r="AH77" i="4"/>
  <c r="AF77" i="4"/>
  <c r="AE77" i="4"/>
  <c r="AA77" i="4"/>
  <c r="Z77" i="4"/>
  <c r="Y77" i="4"/>
  <c r="AR76" i="4"/>
  <c r="AQ76" i="4"/>
  <c r="AO76" i="4"/>
  <c r="AN76" i="4"/>
  <c r="AP76" i="4" s="1"/>
  <c r="AL76" i="4"/>
  <c r="AK76" i="4"/>
  <c r="AI76" i="4"/>
  <c r="AH76" i="4"/>
  <c r="AJ76" i="4" s="1"/>
  <c r="AF76" i="4"/>
  <c r="AE76" i="4"/>
  <c r="AG76" i="4" s="1"/>
  <c r="AA76" i="4"/>
  <c r="Z76" i="4"/>
  <c r="Y76" i="4"/>
  <c r="AR75" i="4"/>
  <c r="AQ75" i="4"/>
  <c r="AS75" i="4" s="1"/>
  <c r="AO75" i="4"/>
  <c r="AN75" i="4"/>
  <c r="AL75" i="4"/>
  <c r="AM75" i="4" s="1"/>
  <c r="AK75" i="4"/>
  <c r="AI75" i="4"/>
  <c r="AH75" i="4"/>
  <c r="AF75" i="4"/>
  <c r="AE75" i="4"/>
  <c r="AA75" i="4"/>
  <c r="Z75" i="4"/>
  <c r="Y75" i="4"/>
  <c r="AR74" i="4"/>
  <c r="AQ74" i="4"/>
  <c r="AO74" i="4"/>
  <c r="AP74" i="4" s="1"/>
  <c r="AN74" i="4"/>
  <c r="AL74" i="4"/>
  <c r="AK74" i="4"/>
  <c r="AI74" i="4"/>
  <c r="AH74" i="4"/>
  <c r="AF74" i="4"/>
  <c r="AE74" i="4"/>
  <c r="AA74" i="4"/>
  <c r="Z74" i="4"/>
  <c r="Y74" i="4"/>
  <c r="AR73" i="4"/>
  <c r="AQ73" i="4"/>
  <c r="AS73" i="4" s="1"/>
  <c r="AO73" i="4"/>
  <c r="AN73" i="4"/>
  <c r="AP73" i="4" s="1"/>
  <c r="AL73" i="4"/>
  <c r="AK73" i="4"/>
  <c r="AI73" i="4"/>
  <c r="AH73" i="4"/>
  <c r="AJ73" i="4" s="1"/>
  <c r="AF73" i="4"/>
  <c r="AE73" i="4"/>
  <c r="AA73" i="4"/>
  <c r="Z73" i="4"/>
  <c r="Y73" i="4"/>
  <c r="AR72" i="4"/>
  <c r="AQ72" i="4"/>
  <c r="AO72" i="4"/>
  <c r="AN72" i="4"/>
  <c r="AL72" i="4"/>
  <c r="AK72" i="4"/>
  <c r="AI72" i="4"/>
  <c r="AH72" i="4"/>
  <c r="AF72" i="4"/>
  <c r="AE72" i="4"/>
  <c r="AG72" i="4" s="1"/>
  <c r="AA72" i="4"/>
  <c r="Z72" i="4"/>
  <c r="Y72" i="4"/>
  <c r="AR71" i="4"/>
  <c r="AQ71" i="4"/>
  <c r="AO71" i="4"/>
  <c r="AN71" i="4"/>
  <c r="AL71" i="4"/>
  <c r="AK71" i="4"/>
  <c r="AI71" i="4"/>
  <c r="AH71" i="4"/>
  <c r="AF71" i="4"/>
  <c r="AE71" i="4"/>
  <c r="AG71" i="4" s="1"/>
  <c r="AA71" i="4"/>
  <c r="Z71" i="4"/>
  <c r="Y71" i="4"/>
  <c r="AR70" i="4"/>
  <c r="AQ70" i="4"/>
  <c r="AS70" i="4" s="1"/>
  <c r="AO70" i="4"/>
  <c r="AN70" i="4"/>
  <c r="AP70" i="4" s="1"/>
  <c r="AL70" i="4"/>
  <c r="AK70" i="4"/>
  <c r="AI70" i="4"/>
  <c r="AH70" i="4"/>
  <c r="AF70" i="4"/>
  <c r="AE70" i="4"/>
  <c r="AG70" i="4" s="1"/>
  <c r="AA70" i="4"/>
  <c r="Z70" i="4"/>
  <c r="Y70" i="4"/>
  <c r="AR69" i="4"/>
  <c r="AQ69" i="4"/>
  <c r="AO69" i="4"/>
  <c r="AN69" i="4"/>
  <c r="AL69" i="4"/>
  <c r="AK69" i="4"/>
  <c r="AM69" i="4" s="1"/>
  <c r="AI69" i="4"/>
  <c r="AH69" i="4"/>
  <c r="AF69" i="4"/>
  <c r="AE69" i="4"/>
  <c r="AA69" i="4"/>
  <c r="Z69" i="4"/>
  <c r="Y69" i="4"/>
  <c r="AR68" i="4"/>
  <c r="AQ68" i="4"/>
  <c r="AS68" i="4" s="1"/>
  <c r="AO68" i="4"/>
  <c r="AP68" i="4" s="1"/>
  <c r="AN68" i="4"/>
  <c r="AL68" i="4"/>
  <c r="AK68" i="4"/>
  <c r="AI68" i="4"/>
  <c r="AH68" i="4"/>
  <c r="AJ68" i="4" s="1"/>
  <c r="AF68" i="4"/>
  <c r="AE68" i="4"/>
  <c r="AG68" i="4" s="1"/>
  <c r="AA68" i="4"/>
  <c r="Z68" i="4"/>
  <c r="Y68" i="4"/>
  <c r="AR67" i="4"/>
  <c r="AQ67" i="4"/>
  <c r="AO67" i="4"/>
  <c r="AN67" i="4"/>
  <c r="AP67" i="4" s="1"/>
  <c r="AL67" i="4"/>
  <c r="AK67" i="4"/>
  <c r="AI67" i="4"/>
  <c r="AH67" i="4"/>
  <c r="AF67" i="4"/>
  <c r="AE67" i="4"/>
  <c r="AG67" i="4" s="1"/>
  <c r="AA67" i="4"/>
  <c r="Z67" i="4"/>
  <c r="Y67" i="4"/>
  <c r="AR66" i="4"/>
  <c r="AQ66" i="4"/>
  <c r="AO66" i="4"/>
  <c r="AN66" i="4"/>
  <c r="AP66" i="4" s="1"/>
  <c r="AL66" i="4"/>
  <c r="AK66" i="4"/>
  <c r="AM66" i="4" s="1"/>
  <c r="AI66" i="4"/>
  <c r="AH66" i="4"/>
  <c r="AF66" i="4"/>
  <c r="AE66" i="4"/>
  <c r="AG66" i="4" s="1"/>
  <c r="AA66" i="4"/>
  <c r="Z66" i="4"/>
  <c r="Y66" i="4"/>
  <c r="AR65" i="4"/>
  <c r="AQ65" i="4"/>
  <c r="AO65" i="4"/>
  <c r="AN65" i="4"/>
  <c r="AL65" i="4"/>
  <c r="AK65" i="4"/>
  <c r="AI65" i="4"/>
  <c r="AJ65" i="4" s="1"/>
  <c r="AH65" i="4"/>
  <c r="AF65" i="4"/>
  <c r="AE65" i="4"/>
  <c r="AA65" i="4"/>
  <c r="Z65" i="4"/>
  <c r="Y65" i="4"/>
  <c r="AR64" i="4"/>
  <c r="AQ64" i="4"/>
  <c r="AS64" i="4" s="1"/>
  <c r="AO64" i="4"/>
  <c r="AN64" i="4"/>
  <c r="AL64" i="4"/>
  <c r="AK64" i="4"/>
  <c r="AI64" i="4"/>
  <c r="AH64" i="4"/>
  <c r="AF64" i="4"/>
  <c r="AE64" i="4"/>
  <c r="AA64" i="4"/>
  <c r="Z64" i="4"/>
  <c r="Y64" i="4"/>
  <c r="AR63" i="4"/>
  <c r="AS63" i="4" s="1"/>
  <c r="AQ63" i="4"/>
  <c r="AO63" i="4"/>
  <c r="AN63" i="4"/>
  <c r="AL63" i="4"/>
  <c r="AK63" i="4"/>
  <c r="AI63" i="4"/>
  <c r="AH63" i="4"/>
  <c r="AF63" i="4"/>
  <c r="AE63" i="4"/>
  <c r="AG63" i="4" s="1"/>
  <c r="AA63" i="4"/>
  <c r="Z63" i="4"/>
  <c r="Y63" i="4"/>
  <c r="AR62" i="4"/>
  <c r="AQ62" i="4"/>
  <c r="AO62" i="4"/>
  <c r="AN62" i="4"/>
  <c r="AP62" i="4" s="1"/>
  <c r="AL62" i="4"/>
  <c r="AK62" i="4"/>
  <c r="AI62" i="4"/>
  <c r="AH62" i="4"/>
  <c r="AF62" i="4"/>
  <c r="AE62" i="4"/>
  <c r="AG62" i="4" s="1"/>
  <c r="AA62" i="4"/>
  <c r="Z62" i="4"/>
  <c r="Y62" i="4"/>
  <c r="AR61" i="4"/>
  <c r="AQ61" i="4"/>
  <c r="AO61" i="4"/>
  <c r="AN61" i="4"/>
  <c r="AL61" i="4"/>
  <c r="AK61" i="4"/>
  <c r="AI61" i="4"/>
  <c r="AH61" i="4"/>
  <c r="AJ61" i="4" s="1"/>
  <c r="AF61" i="4"/>
  <c r="AE61" i="4"/>
  <c r="AA61" i="4"/>
  <c r="Z61" i="4"/>
  <c r="Y61" i="4"/>
  <c r="AR57" i="4"/>
  <c r="AQ57" i="4"/>
  <c r="AO57" i="4"/>
  <c r="AN57" i="4"/>
  <c r="AP57" i="4" s="1"/>
  <c r="AL57" i="4"/>
  <c r="AK57" i="4"/>
  <c r="AI57" i="4"/>
  <c r="AH57" i="4"/>
  <c r="AF57" i="4"/>
  <c r="AE57" i="4"/>
  <c r="AG57" i="4" s="1"/>
  <c r="AA57" i="4"/>
  <c r="Z57" i="4"/>
  <c r="Y57" i="4"/>
  <c r="AR56" i="4"/>
  <c r="AQ56" i="4"/>
  <c r="AO56" i="4"/>
  <c r="AN56" i="4"/>
  <c r="AL56" i="4"/>
  <c r="AK56" i="4"/>
  <c r="AI56" i="4"/>
  <c r="AH56" i="4"/>
  <c r="AJ56" i="4" s="1"/>
  <c r="AF56" i="4"/>
  <c r="AE56" i="4"/>
  <c r="AA56" i="4"/>
  <c r="Z56" i="4"/>
  <c r="Y56" i="4"/>
  <c r="AR55" i="4"/>
  <c r="AQ55" i="4"/>
  <c r="AS55" i="4" s="1"/>
  <c r="AO55" i="4"/>
  <c r="AN55" i="4"/>
  <c r="AL55" i="4"/>
  <c r="AK55" i="4"/>
  <c r="AI55" i="4"/>
  <c r="AH55" i="4"/>
  <c r="AF55" i="4"/>
  <c r="AE55" i="4"/>
  <c r="AA55" i="4"/>
  <c r="Z55" i="4"/>
  <c r="Y55" i="4"/>
  <c r="AR54" i="4"/>
  <c r="AQ54" i="4"/>
  <c r="AO54" i="4"/>
  <c r="AN54" i="4"/>
  <c r="AL54" i="4"/>
  <c r="AK54" i="4"/>
  <c r="AI54" i="4"/>
  <c r="AH54" i="4"/>
  <c r="AF54" i="4"/>
  <c r="AE54" i="4"/>
  <c r="AA54" i="4"/>
  <c r="Z54" i="4"/>
  <c r="Y54" i="4"/>
  <c r="AR53" i="4"/>
  <c r="AQ53" i="4"/>
  <c r="AO53" i="4"/>
  <c r="AN53" i="4"/>
  <c r="AL53" i="4"/>
  <c r="AK53" i="4"/>
  <c r="AM53" i="4" s="1"/>
  <c r="AI53" i="4"/>
  <c r="AH53" i="4"/>
  <c r="AF53" i="4"/>
  <c r="AE53" i="4"/>
  <c r="AA53" i="4"/>
  <c r="Z53" i="4"/>
  <c r="Y53" i="4"/>
  <c r="AR52" i="4"/>
  <c r="AQ52" i="4"/>
  <c r="AS52" i="4" s="1"/>
  <c r="AO52" i="4"/>
  <c r="AN52" i="4"/>
  <c r="AP52" i="4" s="1"/>
  <c r="AL52" i="4"/>
  <c r="AK52" i="4"/>
  <c r="AI52" i="4"/>
  <c r="AH52" i="4"/>
  <c r="AF52" i="4"/>
  <c r="AG52" i="4" s="1"/>
  <c r="AE52" i="4"/>
  <c r="AA52" i="4"/>
  <c r="Z52" i="4"/>
  <c r="Y52" i="4"/>
  <c r="AR51" i="4"/>
  <c r="AQ51" i="4"/>
  <c r="AO51" i="4"/>
  <c r="AN51" i="4"/>
  <c r="AP51" i="4" s="1"/>
  <c r="AL51" i="4"/>
  <c r="AK51" i="4"/>
  <c r="AM51" i="4" s="1"/>
  <c r="AI51" i="4"/>
  <c r="AJ51" i="4" s="1"/>
  <c r="AH51" i="4"/>
  <c r="AF51" i="4"/>
  <c r="AE51" i="4"/>
  <c r="AA51" i="4"/>
  <c r="Z51" i="4"/>
  <c r="Y51" i="4"/>
  <c r="AR50" i="4"/>
  <c r="AQ50" i="4"/>
  <c r="AO50" i="4"/>
  <c r="AN50" i="4"/>
  <c r="AL50" i="4"/>
  <c r="AK50" i="4"/>
  <c r="AI50" i="4"/>
  <c r="AH50" i="4"/>
  <c r="AF50" i="4"/>
  <c r="AE50" i="4"/>
  <c r="AA50" i="4"/>
  <c r="Z50" i="4"/>
  <c r="Y50" i="4"/>
  <c r="AR49" i="4"/>
  <c r="AQ49" i="4"/>
  <c r="AO49" i="4"/>
  <c r="AP49" i="4" s="1"/>
  <c r="AN49" i="4"/>
  <c r="AL49" i="4"/>
  <c r="AK49" i="4"/>
  <c r="AI49" i="4"/>
  <c r="AH49" i="4"/>
  <c r="AF49" i="4"/>
  <c r="AE49" i="4"/>
  <c r="AA49" i="4"/>
  <c r="Z49" i="4"/>
  <c r="Y49" i="4"/>
  <c r="AR48" i="4"/>
  <c r="AQ48" i="4"/>
  <c r="AS48" i="4" s="1"/>
  <c r="AO48" i="4"/>
  <c r="AN48" i="4"/>
  <c r="AL48" i="4"/>
  <c r="AK48" i="4"/>
  <c r="AM48" i="4" s="1"/>
  <c r="AI48" i="4"/>
  <c r="AJ48" i="4" s="1"/>
  <c r="AH48" i="4"/>
  <c r="AF48" i="4"/>
  <c r="AE48" i="4"/>
  <c r="AG48" i="4" s="1"/>
  <c r="AA48" i="4"/>
  <c r="Z48" i="4"/>
  <c r="Y48" i="4"/>
  <c r="AR47" i="4"/>
  <c r="AQ47" i="4"/>
  <c r="AO47" i="4"/>
  <c r="AN47" i="4"/>
  <c r="AL47" i="4"/>
  <c r="AK47" i="4"/>
  <c r="AI47" i="4"/>
  <c r="AH47" i="4"/>
  <c r="AJ47" i="4" s="1"/>
  <c r="AF47" i="4"/>
  <c r="AE47" i="4"/>
  <c r="AA47" i="4"/>
  <c r="Z47" i="4"/>
  <c r="Y47" i="4"/>
  <c r="AR46" i="4"/>
  <c r="AQ46" i="4"/>
  <c r="AS46" i="4" s="1"/>
  <c r="AO46" i="4"/>
  <c r="AN46" i="4"/>
  <c r="AL46" i="4"/>
  <c r="AK46" i="4"/>
  <c r="AI46" i="4"/>
  <c r="AH46" i="4"/>
  <c r="AJ46" i="4" s="1"/>
  <c r="AF46" i="4"/>
  <c r="AE46" i="4"/>
  <c r="AA46" i="4"/>
  <c r="Z46" i="4"/>
  <c r="Y46" i="4"/>
  <c r="AR45" i="4"/>
  <c r="AQ45" i="4"/>
  <c r="AO45" i="4"/>
  <c r="AN45" i="4"/>
  <c r="AL45" i="4"/>
  <c r="AK45" i="4"/>
  <c r="AI45" i="4"/>
  <c r="AH45" i="4"/>
  <c r="AF45" i="4"/>
  <c r="AE45" i="4"/>
  <c r="AG45" i="4" s="1"/>
  <c r="AA45" i="4"/>
  <c r="Z45" i="4"/>
  <c r="Y45" i="4"/>
  <c r="AR44" i="4"/>
  <c r="AQ44" i="4"/>
  <c r="AO44" i="4"/>
  <c r="AN44" i="4"/>
  <c r="AL44" i="4"/>
  <c r="AK44" i="4"/>
  <c r="AI44" i="4"/>
  <c r="AH44" i="4"/>
  <c r="AF44" i="4"/>
  <c r="AE44" i="4"/>
  <c r="AA44" i="4"/>
  <c r="Z44" i="4"/>
  <c r="Y44" i="4"/>
  <c r="AR43" i="4"/>
  <c r="AQ43" i="4"/>
  <c r="AO43" i="4"/>
  <c r="AN43" i="4"/>
  <c r="AP43" i="4" s="1"/>
  <c r="AL43" i="4"/>
  <c r="AK43" i="4"/>
  <c r="AM43" i="4" s="1"/>
  <c r="AI43" i="4"/>
  <c r="AH43" i="4"/>
  <c r="AF43" i="4"/>
  <c r="AE43" i="4"/>
  <c r="AG43" i="4" s="1"/>
  <c r="AA43" i="4"/>
  <c r="Z43" i="4"/>
  <c r="Y43" i="4"/>
  <c r="AR42" i="4"/>
  <c r="AQ42" i="4"/>
  <c r="AO42" i="4"/>
  <c r="AN42" i="4"/>
  <c r="AL42" i="4"/>
  <c r="AM42" i="4" s="1"/>
  <c r="AK42" i="4"/>
  <c r="AI42" i="4"/>
  <c r="AH42" i="4"/>
  <c r="AF42" i="4"/>
  <c r="AE42" i="4"/>
  <c r="AA42" i="4"/>
  <c r="Z42" i="4"/>
  <c r="Y42" i="4"/>
  <c r="AR41" i="4"/>
  <c r="AQ41" i="4"/>
  <c r="AS41" i="4" s="1"/>
  <c r="AO41" i="4"/>
  <c r="AN41" i="4"/>
  <c r="AL41" i="4"/>
  <c r="AK41" i="4"/>
  <c r="AI41" i="4"/>
  <c r="AJ41" i="4" s="1"/>
  <c r="AH41" i="4"/>
  <c r="AF41" i="4"/>
  <c r="AE41" i="4"/>
  <c r="AA41" i="4"/>
  <c r="Z41" i="4"/>
  <c r="Y41" i="4"/>
  <c r="AR40" i="4"/>
  <c r="AQ40" i="4"/>
  <c r="AS40" i="4" s="1"/>
  <c r="AO40" i="4"/>
  <c r="AN40" i="4"/>
  <c r="AP40" i="4" s="1"/>
  <c r="AL40" i="4"/>
  <c r="AK40" i="4"/>
  <c r="AM40" i="4" s="1"/>
  <c r="AI40" i="4"/>
  <c r="AH40" i="4"/>
  <c r="AJ40" i="4" s="1"/>
  <c r="AF40" i="4"/>
  <c r="AE40" i="4"/>
  <c r="AA40" i="4"/>
  <c r="Z40" i="4"/>
  <c r="Y40" i="4"/>
  <c r="AR39" i="4"/>
  <c r="AQ39" i="4"/>
  <c r="AO39" i="4"/>
  <c r="AN39" i="4"/>
  <c r="AP39" i="4" s="1"/>
  <c r="AL39" i="4"/>
  <c r="AK39" i="4"/>
  <c r="AI39" i="4"/>
  <c r="AH39" i="4"/>
  <c r="AF39" i="4"/>
  <c r="AE39" i="4"/>
  <c r="AA39" i="4"/>
  <c r="Z39" i="4"/>
  <c r="Y39" i="4"/>
  <c r="AR38" i="4"/>
  <c r="AQ38" i="4"/>
  <c r="AO38" i="4"/>
  <c r="AN38" i="4"/>
  <c r="AL38" i="4"/>
  <c r="AK38" i="4"/>
  <c r="AI38" i="4"/>
  <c r="AH38" i="4"/>
  <c r="AJ38" i="4" s="1"/>
  <c r="AF38" i="4"/>
  <c r="AE38" i="4"/>
  <c r="AG38" i="4" s="1"/>
  <c r="AA38" i="4"/>
  <c r="Z38" i="4"/>
  <c r="Y38" i="4"/>
  <c r="AR37" i="4"/>
  <c r="AQ37" i="4"/>
  <c r="AO37" i="4"/>
  <c r="AN37" i="4"/>
  <c r="AL37" i="4"/>
  <c r="AK37" i="4"/>
  <c r="AM37" i="4" s="1"/>
  <c r="AI37" i="4"/>
  <c r="AH37" i="4"/>
  <c r="AJ37" i="4" s="1"/>
  <c r="AF37" i="4"/>
  <c r="AE37" i="4"/>
  <c r="AA37" i="4"/>
  <c r="Z37" i="4"/>
  <c r="Y37" i="4"/>
  <c r="AR36" i="4"/>
  <c r="AQ36" i="4"/>
  <c r="AS36" i="4" s="1"/>
  <c r="AP36" i="4"/>
  <c r="AO36" i="4"/>
  <c r="AN36" i="4"/>
  <c r="AL36" i="4"/>
  <c r="AK36" i="4"/>
  <c r="AM36" i="4" s="1"/>
  <c r="AI36" i="4"/>
  <c r="AH36" i="4"/>
  <c r="AF36" i="4"/>
  <c r="AE36" i="4"/>
  <c r="AA36" i="4"/>
  <c r="Z36" i="4"/>
  <c r="Y36" i="4"/>
  <c r="AR35" i="4"/>
  <c r="AQ35" i="4"/>
  <c r="AO35" i="4"/>
  <c r="AN35" i="4"/>
  <c r="AP35" i="4" s="1"/>
  <c r="AL35" i="4"/>
  <c r="AK35" i="4"/>
  <c r="AM35" i="4" s="1"/>
  <c r="AI35" i="4"/>
  <c r="AH35" i="4"/>
  <c r="AF35" i="4"/>
  <c r="AE35" i="4"/>
  <c r="AG35" i="4" s="1"/>
  <c r="AA35" i="4"/>
  <c r="Z35" i="4"/>
  <c r="Y35" i="4"/>
  <c r="AR34" i="4"/>
  <c r="AQ34" i="4"/>
  <c r="AS34" i="4" s="1"/>
  <c r="AO34" i="4"/>
  <c r="AN34" i="4"/>
  <c r="AP34" i="4" s="1"/>
  <c r="AL34" i="4"/>
  <c r="AM34" i="4" s="1"/>
  <c r="AK34" i="4"/>
  <c r="AI34" i="4"/>
  <c r="AH34" i="4"/>
  <c r="AF34" i="4"/>
  <c r="AE34" i="4"/>
  <c r="AA34" i="4"/>
  <c r="Z34" i="4"/>
  <c r="Y34" i="4"/>
  <c r="AR33" i="4"/>
  <c r="AQ33" i="4"/>
  <c r="AS33" i="4" s="1"/>
  <c r="AO33" i="4"/>
  <c r="AN33" i="4"/>
  <c r="AL33" i="4"/>
  <c r="AK33" i="4"/>
  <c r="AM33" i="4" s="1"/>
  <c r="AI33" i="4"/>
  <c r="AH33" i="4"/>
  <c r="AF33" i="4"/>
  <c r="AE33" i="4"/>
  <c r="AA33" i="4"/>
  <c r="Z33" i="4"/>
  <c r="Y33" i="4"/>
  <c r="AR32" i="4"/>
  <c r="AQ32" i="4"/>
  <c r="AS32" i="4" s="1"/>
  <c r="AO32" i="4"/>
  <c r="AN32" i="4"/>
  <c r="AL32" i="4"/>
  <c r="AK32" i="4"/>
  <c r="AI32" i="4"/>
  <c r="AJ32" i="4" s="1"/>
  <c r="AH32" i="4"/>
  <c r="AF32" i="4"/>
  <c r="AE32" i="4"/>
  <c r="AA32" i="4"/>
  <c r="Z32" i="4"/>
  <c r="Y32" i="4"/>
  <c r="AR31" i="4"/>
  <c r="AQ31" i="4"/>
  <c r="AS31" i="4" s="1"/>
  <c r="AO31" i="4"/>
  <c r="AN31" i="4"/>
  <c r="AP31" i="4" s="1"/>
  <c r="AL31" i="4"/>
  <c r="AK31" i="4"/>
  <c r="AI31" i="4"/>
  <c r="AH31" i="4"/>
  <c r="AF31" i="4"/>
  <c r="AE31" i="4"/>
  <c r="AA31" i="4"/>
  <c r="Z31" i="4"/>
  <c r="Y31" i="4"/>
  <c r="AR30" i="4"/>
  <c r="AQ30" i="4"/>
  <c r="AO30" i="4"/>
  <c r="AN30" i="4"/>
  <c r="AL30" i="4"/>
  <c r="AK30" i="4"/>
  <c r="AM30" i="4" s="1"/>
  <c r="AI30" i="4"/>
  <c r="AH30" i="4"/>
  <c r="AF30" i="4"/>
  <c r="AE30" i="4"/>
  <c r="AA30" i="4"/>
  <c r="Z30" i="4"/>
  <c r="Y30" i="4"/>
  <c r="AR29" i="4"/>
  <c r="AQ29" i="4"/>
  <c r="AO29" i="4"/>
  <c r="AN29" i="4"/>
  <c r="AL29" i="4"/>
  <c r="AK29" i="4"/>
  <c r="AI29" i="4"/>
  <c r="AH29" i="4"/>
  <c r="AF29" i="4"/>
  <c r="AE29" i="4"/>
  <c r="AG29" i="4" s="1"/>
  <c r="AA29" i="4"/>
  <c r="Z29" i="4"/>
  <c r="Y29" i="4"/>
  <c r="AR28" i="4"/>
  <c r="AQ28" i="4"/>
  <c r="AS28" i="4" s="1"/>
  <c r="AO28" i="4"/>
  <c r="AN28" i="4"/>
  <c r="AP28" i="4" s="1"/>
  <c r="AL28" i="4"/>
  <c r="AK28" i="4"/>
  <c r="AI28" i="4"/>
  <c r="AH28" i="4"/>
  <c r="AJ28" i="4" s="1"/>
  <c r="AF28" i="4"/>
  <c r="AE28" i="4"/>
  <c r="AG28" i="4" s="1"/>
  <c r="AA28" i="4"/>
  <c r="Z28" i="4"/>
  <c r="Y28" i="4"/>
  <c r="AR27" i="4"/>
  <c r="AQ27" i="4"/>
  <c r="AO27" i="4"/>
  <c r="AN27" i="4"/>
  <c r="AL27" i="4"/>
  <c r="AK27" i="4"/>
  <c r="AI27" i="4"/>
  <c r="AH27" i="4"/>
  <c r="AF27" i="4"/>
  <c r="AE27" i="4"/>
  <c r="AA27" i="4"/>
  <c r="Z27" i="4"/>
  <c r="Y27" i="4"/>
  <c r="AR26" i="4"/>
  <c r="AQ26" i="4"/>
  <c r="AS26" i="4" s="1"/>
  <c r="AO26" i="4"/>
  <c r="AN26" i="4"/>
  <c r="AL26" i="4"/>
  <c r="AK26" i="4"/>
  <c r="AM26" i="4" s="1"/>
  <c r="AI26" i="4"/>
  <c r="AH26" i="4"/>
  <c r="AJ26" i="4" s="1"/>
  <c r="AF26" i="4"/>
  <c r="AE26" i="4"/>
  <c r="AG26" i="4" s="1"/>
  <c r="AA26" i="4"/>
  <c r="Z26" i="4"/>
  <c r="Y26" i="4"/>
  <c r="AS25" i="4"/>
  <c r="AR25" i="4"/>
  <c r="AQ25" i="4"/>
  <c r="AO25" i="4"/>
  <c r="AN25" i="4"/>
  <c r="AP25" i="4" s="1"/>
  <c r="AL25" i="4"/>
  <c r="AK25" i="4"/>
  <c r="AM25" i="4" s="1"/>
  <c r="AI25" i="4"/>
  <c r="AH25" i="4"/>
  <c r="AF25" i="4"/>
  <c r="AE25" i="4"/>
  <c r="AA25" i="4"/>
  <c r="Z25" i="4"/>
  <c r="Y25" i="4"/>
  <c r="AR24" i="4"/>
  <c r="AQ24" i="4"/>
  <c r="AS24" i="4" s="1"/>
  <c r="AO24" i="4"/>
  <c r="AN24" i="4"/>
  <c r="AL24" i="4"/>
  <c r="AK24" i="4"/>
  <c r="AI24" i="4"/>
  <c r="AH24" i="4"/>
  <c r="AF24" i="4"/>
  <c r="AE24" i="4"/>
  <c r="AA24" i="4"/>
  <c r="Z24" i="4"/>
  <c r="Y24" i="4"/>
  <c r="AR23" i="4"/>
  <c r="AQ23" i="4"/>
  <c r="AO23" i="4"/>
  <c r="AN23" i="4"/>
  <c r="AP23" i="4" s="1"/>
  <c r="AL23" i="4"/>
  <c r="AK23" i="4"/>
  <c r="AM23" i="4" s="1"/>
  <c r="AI23" i="4"/>
  <c r="AH23" i="4"/>
  <c r="AF23" i="4"/>
  <c r="AE23" i="4"/>
  <c r="AA23" i="4"/>
  <c r="Z23" i="4"/>
  <c r="Y23" i="4"/>
  <c r="AR22" i="4"/>
  <c r="AQ22" i="4"/>
  <c r="AS22" i="4" s="1"/>
  <c r="AO22" i="4"/>
  <c r="AN22" i="4"/>
  <c r="AL22" i="4"/>
  <c r="AK22" i="4"/>
  <c r="AI22" i="4"/>
  <c r="AH22" i="4"/>
  <c r="AF22" i="4"/>
  <c r="AE22" i="4"/>
  <c r="AA22" i="4"/>
  <c r="Z22" i="4"/>
  <c r="Y22" i="4"/>
  <c r="AR21" i="4"/>
  <c r="AQ21" i="4"/>
  <c r="AO21" i="4"/>
  <c r="AN21" i="4"/>
  <c r="AP21" i="4" s="1"/>
  <c r="AL21" i="4"/>
  <c r="AK21" i="4"/>
  <c r="AI21" i="4"/>
  <c r="AH21" i="4"/>
  <c r="AF21" i="4"/>
  <c r="AG21" i="4" s="1"/>
  <c r="AE21" i="4"/>
  <c r="AA21" i="4"/>
  <c r="Z21" i="4"/>
  <c r="Y21" i="4"/>
  <c r="AR20" i="4"/>
  <c r="AQ20" i="4"/>
  <c r="AO20" i="4"/>
  <c r="AN20" i="4"/>
  <c r="AL20" i="4"/>
  <c r="AK20" i="4"/>
  <c r="AI20" i="4"/>
  <c r="AH20" i="4"/>
  <c r="AF20" i="4"/>
  <c r="AE20" i="4"/>
  <c r="AG20" i="4" s="1"/>
  <c r="AA20" i="4"/>
  <c r="Z20" i="4"/>
  <c r="Y20" i="4"/>
  <c r="AR19" i="4"/>
  <c r="AQ19" i="4"/>
  <c r="AO19" i="4"/>
  <c r="AN19" i="4"/>
  <c r="AL19" i="4"/>
  <c r="AK19" i="4"/>
  <c r="AM19" i="4" s="1"/>
  <c r="AI19" i="4"/>
  <c r="AJ19" i="4" s="1"/>
  <c r="AH19" i="4"/>
  <c r="AF19" i="4"/>
  <c r="AE19" i="4"/>
  <c r="AA19" i="4"/>
  <c r="Z19" i="4"/>
  <c r="Y19" i="4"/>
  <c r="AR18" i="4"/>
  <c r="AQ18" i="4"/>
  <c r="AO18" i="4"/>
  <c r="AN18" i="4"/>
  <c r="AL18" i="4"/>
  <c r="AM18" i="4" s="1"/>
  <c r="AK18" i="4"/>
  <c r="AI18" i="4"/>
  <c r="AH18" i="4"/>
  <c r="AJ18" i="4" s="1"/>
  <c r="AF18" i="4"/>
  <c r="AE18" i="4"/>
  <c r="AG18" i="4" s="1"/>
  <c r="AA18" i="4"/>
  <c r="Z18" i="4"/>
  <c r="Y18" i="4"/>
  <c r="AR17" i="4"/>
  <c r="AQ17" i="4"/>
  <c r="AO17" i="4"/>
  <c r="AN17" i="4"/>
  <c r="AP17" i="4" s="1"/>
  <c r="AL17" i="4"/>
  <c r="AK17" i="4"/>
  <c r="AI17" i="4"/>
  <c r="AH17" i="4"/>
  <c r="AF17" i="4"/>
  <c r="AE17" i="4"/>
  <c r="AA17" i="4"/>
  <c r="Z17" i="4"/>
  <c r="Y17" i="4"/>
  <c r="AR16" i="4"/>
  <c r="AQ16" i="4"/>
  <c r="AO16" i="4"/>
  <c r="AP16" i="4" s="1"/>
  <c r="AN16" i="4"/>
  <c r="AL16" i="4"/>
  <c r="AK16" i="4"/>
  <c r="AI16" i="4"/>
  <c r="AH16" i="4"/>
  <c r="AJ16" i="4" s="1"/>
  <c r="AF16" i="4"/>
  <c r="AE16" i="4"/>
  <c r="AA16" i="4"/>
  <c r="Z16" i="4"/>
  <c r="Y16" i="4"/>
  <c r="AR15" i="4"/>
  <c r="AQ15" i="4"/>
  <c r="AO15" i="4"/>
  <c r="AN15" i="4"/>
  <c r="AL15" i="4"/>
  <c r="AK15" i="4"/>
  <c r="AM15" i="4" s="1"/>
  <c r="AI15" i="4"/>
  <c r="AH15" i="4"/>
  <c r="AF15" i="4"/>
  <c r="AE15" i="4"/>
  <c r="AA15" i="4"/>
  <c r="Z15" i="4"/>
  <c r="Y15" i="4"/>
  <c r="AR14" i="4"/>
  <c r="AQ14" i="4"/>
  <c r="AO14" i="4"/>
  <c r="AN14" i="4"/>
  <c r="AL14" i="4"/>
  <c r="AK14" i="4"/>
  <c r="AI14" i="4"/>
  <c r="AH14" i="4"/>
  <c r="AF14" i="4"/>
  <c r="AE14" i="4"/>
  <c r="AA14" i="4"/>
  <c r="Z14" i="4"/>
  <c r="Y14" i="4"/>
  <c r="AR13" i="4"/>
  <c r="AS13" i="4" s="1"/>
  <c r="AQ13" i="4"/>
  <c r="AO13" i="4"/>
  <c r="AN13" i="4"/>
  <c r="AP13" i="4" s="1"/>
  <c r="AL13" i="4"/>
  <c r="AK13" i="4"/>
  <c r="AM13" i="4" s="1"/>
  <c r="AI13" i="4"/>
  <c r="AH13" i="4"/>
  <c r="AF13" i="4"/>
  <c r="AE13" i="4"/>
  <c r="AA13" i="4"/>
  <c r="Z13" i="4"/>
  <c r="Y13" i="4"/>
  <c r="AR12" i="4"/>
  <c r="AQ12" i="4"/>
  <c r="AS12" i="4" s="1"/>
  <c r="AO12" i="4"/>
  <c r="AN12" i="4"/>
  <c r="AL12" i="4"/>
  <c r="AK12" i="4"/>
  <c r="AI12" i="4"/>
  <c r="AH12" i="4"/>
  <c r="AF12" i="4"/>
  <c r="AE12" i="4"/>
  <c r="AA12" i="4"/>
  <c r="Z12" i="4"/>
  <c r="Y12" i="4"/>
  <c r="AR11" i="4"/>
  <c r="AQ11" i="4"/>
  <c r="AO11" i="4"/>
  <c r="AN11" i="4"/>
  <c r="AP11" i="4" s="1"/>
  <c r="AL11" i="4"/>
  <c r="AK11" i="4"/>
  <c r="AM11" i="4" s="1"/>
  <c r="AI11" i="4"/>
  <c r="AH11" i="4"/>
  <c r="AF11" i="4"/>
  <c r="AE11" i="4"/>
  <c r="AA11" i="4"/>
  <c r="Z11" i="4"/>
  <c r="Y11" i="4"/>
  <c r="AR10" i="4"/>
  <c r="AQ10" i="4"/>
  <c r="AS10" i="4" s="1"/>
  <c r="AO10" i="4"/>
  <c r="AN10" i="4"/>
  <c r="AL10" i="4"/>
  <c r="AK10" i="4"/>
  <c r="AI10" i="4"/>
  <c r="AH10" i="4"/>
  <c r="AF10" i="4"/>
  <c r="AE10" i="4"/>
  <c r="AA10" i="4"/>
  <c r="Z10" i="4"/>
  <c r="Y10" i="4"/>
  <c r="AR9" i="4"/>
  <c r="AQ9" i="4"/>
  <c r="AO9" i="4"/>
  <c r="AN9" i="4"/>
  <c r="AP9" i="4" s="1"/>
  <c r="AL9" i="4"/>
  <c r="AK9" i="4"/>
  <c r="AI9" i="4"/>
  <c r="AH9" i="4"/>
  <c r="AF9" i="4"/>
  <c r="AE9" i="4"/>
  <c r="AA9" i="4"/>
  <c r="Z9" i="4"/>
  <c r="Y9" i="4"/>
  <c r="AR8" i="4"/>
  <c r="AQ8" i="4"/>
  <c r="AO8" i="4"/>
  <c r="AN8" i="4"/>
  <c r="AL8" i="4"/>
  <c r="AK8" i="4"/>
  <c r="AI8" i="4"/>
  <c r="AH8" i="4"/>
  <c r="AF8" i="4"/>
  <c r="AE8" i="4"/>
  <c r="AA8" i="4"/>
  <c r="Z8" i="4"/>
  <c r="Y8" i="4"/>
  <c r="AJ11" i="4" l="1"/>
  <c r="AJ12" i="4"/>
  <c r="AG13" i="4"/>
  <c r="AG14" i="4"/>
  <c r="AS17" i="4"/>
  <c r="AS18" i="4"/>
  <c r="AJ23" i="4"/>
  <c r="AJ24" i="4"/>
  <c r="AG25" i="4"/>
  <c r="AS29" i="4"/>
  <c r="AJ34" i="4"/>
  <c r="AM41" i="4"/>
  <c r="AJ42" i="4"/>
  <c r="AS47" i="4"/>
  <c r="AM64" i="4"/>
  <c r="AM73" i="4"/>
  <c r="AM74" i="4"/>
  <c r="AJ75" i="4"/>
  <c r="AG77" i="4"/>
  <c r="AS80" i="4"/>
  <c r="AP82" i="4"/>
  <c r="AM83" i="4"/>
  <c r="AJ85" i="4"/>
  <c r="AP92" i="4"/>
  <c r="AG98" i="4"/>
  <c r="AP103" i="4"/>
  <c r="AM104" i="4"/>
  <c r="AM105" i="4"/>
  <c r="AG108" i="4"/>
  <c r="AS115" i="4"/>
  <c r="AP117" i="4"/>
  <c r="AM119" i="4"/>
  <c r="AJ121" i="4"/>
  <c r="AG132" i="4"/>
  <c r="AS135" i="4"/>
  <c r="AP136" i="4"/>
  <c r="AM137" i="4"/>
  <c r="AJ138" i="4"/>
  <c r="AJ148" i="4"/>
  <c r="AS15" i="1"/>
  <c r="AP33" i="1"/>
  <c r="AJ163" i="4"/>
  <c r="AM9" i="1"/>
  <c r="AG38" i="1"/>
  <c r="AJ35" i="4"/>
  <c r="AJ36" i="4"/>
  <c r="AG37" i="4"/>
  <c r="AS39" i="4"/>
  <c r="AP41" i="4"/>
  <c r="AJ43" i="4"/>
  <c r="AJ44" i="4"/>
  <c r="AM52" i="4"/>
  <c r="AG55" i="4"/>
  <c r="AG56" i="4"/>
  <c r="AS72" i="4"/>
  <c r="AP83" i="4"/>
  <c r="AM84" i="4"/>
  <c r="AM85" i="4"/>
  <c r="AG88" i="4"/>
  <c r="AP94" i="4"/>
  <c r="AM96" i="4"/>
  <c r="AJ98" i="4"/>
  <c r="AG99" i="4"/>
  <c r="AG100" i="4"/>
  <c r="AS103" i="4"/>
  <c r="AP105" i="4"/>
  <c r="AJ108" i="4"/>
  <c r="AM121" i="4"/>
  <c r="AJ123" i="4"/>
  <c r="AG125" i="4"/>
  <c r="AS127" i="4"/>
  <c r="AP129" i="4"/>
  <c r="AJ132" i="4"/>
  <c r="AG134" i="4"/>
  <c r="AJ140" i="4"/>
  <c r="AM148" i="4"/>
  <c r="AP155" i="4"/>
  <c r="AG159" i="4"/>
  <c r="AP161" i="4"/>
  <c r="AG4" i="1"/>
  <c r="AP9" i="1"/>
  <c r="AM10" i="1"/>
  <c r="AJ12" i="1"/>
  <c r="AP18" i="1"/>
  <c r="AM20" i="1"/>
  <c r="AG22" i="1"/>
  <c r="AS25" i="1"/>
  <c r="AM28" i="1"/>
  <c r="AJ38" i="1"/>
  <c r="AM46" i="1"/>
  <c r="AP22" i="4"/>
  <c r="AM47" i="1"/>
  <c r="AJ49" i="1"/>
  <c r="AG51" i="1"/>
  <c r="AP10" i="4"/>
  <c r="AG126" i="4"/>
  <c r="AG143" i="4"/>
  <c r="AM157" i="4"/>
  <c r="AG160" i="4"/>
  <c r="AJ40" i="1"/>
  <c r="AM48" i="1"/>
  <c r="AJ50" i="1"/>
  <c r="AM12" i="4"/>
  <c r="AJ70" i="4"/>
  <c r="AJ79" i="4"/>
  <c r="AM124" i="4"/>
  <c r="AJ125" i="4"/>
  <c r="AJ126" i="4"/>
  <c r="AP131" i="4"/>
  <c r="AG136" i="4"/>
  <c r="AS137" i="4"/>
  <c r="AP139" i="4"/>
  <c r="AJ143" i="4"/>
  <c r="AP148" i="4"/>
  <c r="AM150" i="4"/>
  <c r="AJ152" i="4"/>
  <c r="AG153" i="4"/>
  <c r="AP157" i="4"/>
  <c r="AJ160" i="4"/>
  <c r="AJ5" i="1"/>
  <c r="AM12" i="1"/>
  <c r="AM13" i="1"/>
  <c r="AG16" i="1"/>
  <c r="AP21" i="1"/>
  <c r="AM30" i="1"/>
  <c r="AJ31" i="1"/>
  <c r="AG33" i="1"/>
  <c r="AM39" i="1"/>
  <c r="AG43" i="1"/>
  <c r="AS45" i="1"/>
  <c r="AP47" i="1"/>
  <c r="AM49" i="1"/>
  <c r="AM24" i="4"/>
  <c r="Y111" i="4"/>
  <c r="AJ30" i="4"/>
  <c r="AJ39" i="4"/>
  <c r="AG40" i="4"/>
  <c r="AP44" i="4"/>
  <c r="AP45" i="4"/>
  <c r="AM46" i="4"/>
  <c r="AG49" i="4"/>
  <c r="AG50" i="4"/>
  <c r="AS53" i="4"/>
  <c r="AP54" i="4"/>
  <c r="AP55" i="4"/>
  <c r="AM57" i="4"/>
  <c r="AJ62" i="4"/>
  <c r="AG64" i="4"/>
  <c r="AP87" i="4"/>
  <c r="AM88" i="4"/>
  <c r="AM89" i="4"/>
  <c r="AJ91" i="4"/>
  <c r="AG92" i="4"/>
  <c r="AM100" i="4"/>
  <c r="AS107" i="4"/>
  <c r="AP109" i="4"/>
  <c r="AJ115" i="4"/>
  <c r="AJ116" i="4"/>
  <c r="AG118" i="4"/>
  <c r="AS122" i="4"/>
  <c r="AM126" i="4"/>
  <c r="AP133" i="4"/>
  <c r="AM134" i="4"/>
  <c r="AS139" i="4"/>
  <c r="AP140" i="4"/>
  <c r="AP141" i="4"/>
  <c r="AM142" i="4"/>
  <c r="AG145" i="4"/>
  <c r="AG146" i="4"/>
  <c r="AJ153" i="4"/>
  <c r="AS157" i="4"/>
  <c r="AP3" i="1"/>
  <c r="AJ6" i="1"/>
  <c r="AG8" i="1"/>
  <c r="AM15" i="1"/>
  <c r="AM23" i="1"/>
  <c r="AP30" i="1"/>
  <c r="AG35" i="1"/>
  <c r="AS37" i="1"/>
  <c r="AJ43" i="1"/>
  <c r="AS47" i="1"/>
  <c r="AM51" i="1"/>
  <c r="AP27" i="4"/>
  <c r="AM29" i="4"/>
  <c r="AJ31" i="4"/>
  <c r="AG32" i="4"/>
  <c r="AP37" i="4"/>
  <c r="AM38" i="4"/>
  <c r="AS44" i="4"/>
  <c r="AM47" i="4"/>
  <c r="AG51" i="4"/>
  <c r="AS54" i="4"/>
  <c r="AP56" i="4"/>
  <c r="AM61" i="4"/>
  <c r="AJ63" i="4"/>
  <c r="AJ72" i="4"/>
  <c r="AG74" i="4"/>
  <c r="AJ82" i="4"/>
  <c r="AG83" i="4"/>
  <c r="AP88" i="4"/>
  <c r="AJ92" i="4"/>
  <c r="AP100" i="4"/>
  <c r="AM102" i="4"/>
  <c r="AJ103" i="4"/>
  <c r="AS108" i="4"/>
  <c r="AP110" i="4"/>
  <c r="AS123" i="4"/>
  <c r="AP125" i="4"/>
  <c r="AG129" i="4"/>
  <c r="AS132" i="4"/>
  <c r="AJ145" i="4"/>
  <c r="AG147" i="4"/>
  <c r="AP4" i="1"/>
  <c r="AM32" i="1"/>
  <c r="AJ34" i="1"/>
  <c r="AS48" i="1"/>
  <c r="AJ10" i="4"/>
  <c r="AG12" i="4"/>
  <c r="AS16" i="4"/>
  <c r="AJ22" i="4"/>
  <c r="AG24" i="4"/>
  <c r="AS27" i="4"/>
  <c r="AP29" i="4"/>
  <c r="AM31" i="4"/>
  <c r="AG33" i="4"/>
  <c r="AG34" i="4"/>
  <c r="AS37" i="4"/>
  <c r="AP38" i="4"/>
  <c r="AG42" i="4"/>
  <c r="AP47" i="4"/>
  <c r="AM49" i="4"/>
  <c r="AS56" i="4"/>
  <c r="AM72" i="4"/>
  <c r="AG75" i="4"/>
  <c r="AM82" i="4"/>
  <c r="AJ83" i="4"/>
  <c r="AG85" i="4"/>
  <c r="AS88" i="4"/>
  <c r="AP90" i="4"/>
  <c r="AJ93" i="4"/>
  <c r="AJ94" i="4"/>
  <c r="AS100" i="4"/>
  <c r="AP102" i="4"/>
  <c r="AG121" i="4"/>
  <c r="AM136" i="4"/>
  <c r="AJ137" i="4"/>
  <c r="AG138" i="4"/>
  <c r="AS142" i="4"/>
  <c r="AP144" i="4"/>
  <c r="AM145" i="4"/>
  <c r="AS150" i="4"/>
  <c r="AS151" i="4"/>
  <c r="AP160" i="4"/>
  <c r="AM6" i="1"/>
  <c r="AM7" i="1"/>
  <c r="AJ9" i="1"/>
  <c r="AS14" i="1"/>
  <c r="AS22" i="1"/>
  <c r="AG28" i="1"/>
  <c r="AP32" i="1"/>
  <c r="AM34" i="1"/>
  <c r="AS40" i="1"/>
  <c r="AM44" i="1"/>
  <c r="AJ45" i="1"/>
  <c r="AG46" i="1"/>
  <c r="AS50" i="1"/>
  <c r="AJ15" i="4"/>
  <c r="AG157" i="4"/>
  <c r="AM5" i="1"/>
  <c r="AJ55" i="4"/>
  <c r="AG151" i="4"/>
  <c r="AM156" i="4"/>
  <c r="AS11" i="1"/>
  <c r="AJ49" i="4"/>
  <c r="AM67" i="4"/>
  <c r="AJ151" i="4"/>
  <c r="AG50" i="1"/>
  <c r="AJ69" i="4"/>
  <c r="AG93" i="4"/>
  <c r="AP116" i="4"/>
  <c r="AI52" i="1"/>
  <c r="AS5" i="1"/>
  <c r="AM8" i="1"/>
  <c r="AG30" i="1"/>
  <c r="AM41" i="1"/>
  <c r="AL5" i="6"/>
  <c r="Z58" i="4"/>
  <c r="AG17" i="4"/>
  <c r="AS21" i="4"/>
  <c r="AJ27" i="4"/>
  <c r="AJ17" i="4"/>
  <c r="AG19" i="4"/>
  <c r="AG119" i="4"/>
  <c r="AP37" i="1"/>
  <c r="AS44" i="1"/>
  <c r="AP80" i="4"/>
  <c r="AP104" i="4"/>
  <c r="AG31" i="4"/>
  <c r="AM98" i="4"/>
  <c r="AM117" i="4"/>
  <c r="AI58" i="4"/>
  <c r="AF111" i="4"/>
  <c r="AS65" i="4"/>
  <c r="AK58" i="4"/>
  <c r="AJ9" i="4"/>
  <c r="AG11" i="4"/>
  <c r="AI111" i="4"/>
  <c r="AA164" i="4"/>
  <c r="AS125" i="4"/>
  <c r="AG141" i="4"/>
  <c r="AM163" i="4"/>
  <c r="AM21" i="1"/>
  <c r="AS46" i="1"/>
  <c r="AP23" i="1"/>
  <c r="AP12" i="4"/>
  <c r="AS23" i="4"/>
  <c r="AG84" i="4"/>
  <c r="AP124" i="4"/>
  <c r="AG69" i="4"/>
  <c r="AS15" i="4"/>
  <c r="AJ21" i="4"/>
  <c r="AG23" i="4"/>
  <c r="AL58" i="4"/>
  <c r="AM9" i="4"/>
  <c r="AP18" i="4"/>
  <c r="AP19" i="4"/>
  <c r="AM20" i="4"/>
  <c r="AM21" i="4"/>
  <c r="AP42" i="4"/>
  <c r="AM50" i="4"/>
  <c r="AG53" i="4"/>
  <c r="AM76" i="4"/>
  <c r="AP84" i="4"/>
  <c r="AP99" i="4"/>
  <c r="AJ110" i="4"/>
  <c r="AG114" i="4"/>
  <c r="AO164" i="4"/>
  <c r="AP119" i="4"/>
  <c r="AM120" i="4"/>
  <c r="AJ122" i="4"/>
  <c r="AG123" i="4"/>
  <c r="AG124" i="4"/>
  <c r="AJ128" i="4"/>
  <c r="AM139" i="4"/>
  <c r="AG154" i="4"/>
  <c r="AM159" i="4"/>
  <c r="AG12" i="1"/>
  <c r="AP28" i="1"/>
  <c r="AM29" i="1"/>
  <c r="AG37" i="1"/>
  <c r="AS62" i="4"/>
  <c r="AM80" i="4"/>
  <c r="AP11" i="1"/>
  <c r="AS11" i="4"/>
  <c r="AP138" i="4"/>
  <c r="AM153" i="4"/>
  <c r="AG155" i="4"/>
  <c r="AS8" i="1"/>
  <c r="AG13" i="1"/>
  <c r="AS27" i="1"/>
  <c r="AO52" i="1"/>
  <c r="AM14" i="4"/>
  <c r="AP24" i="4"/>
  <c r="AS51" i="4"/>
  <c r="AM81" i="4"/>
  <c r="AG104" i="4"/>
  <c r="AS9" i="4"/>
  <c r="Y52" i="1"/>
  <c r="AS102" i="4"/>
  <c r="AN58" i="4"/>
  <c r="AO111" i="4"/>
  <c r="AM71" i="4"/>
  <c r="AG73" i="4"/>
  <c r="AS74" i="4"/>
  <c r="AG96" i="4"/>
  <c r="AG27" i="4"/>
  <c r="AS30" i="4"/>
  <c r="AM32" i="4"/>
  <c r="AJ33" i="4"/>
  <c r="AM39" i="4"/>
  <c r="AS43" i="4"/>
  <c r="AM45" i="4"/>
  <c r="AG47" i="4"/>
  <c r="AS49" i="4"/>
  <c r="AP50" i="4"/>
  <c r="AM63" i="4"/>
  <c r="AS69" i="4"/>
  <c r="AS85" i="4"/>
  <c r="AM87" i="4"/>
  <c r="AJ89" i="4"/>
  <c r="AG90" i="4"/>
  <c r="AM94" i="4"/>
  <c r="AJ96" i="4"/>
  <c r="AS99" i="4"/>
  <c r="AG105" i="4"/>
  <c r="AG116" i="4"/>
  <c r="AM129" i="4"/>
  <c r="AG131" i="4"/>
  <c r="AM135" i="4"/>
  <c r="AG144" i="4"/>
  <c r="AS145" i="4"/>
  <c r="AP146" i="4"/>
  <c r="AM147" i="4"/>
  <c r="AP152" i="4"/>
  <c r="AM4" i="1"/>
  <c r="AG6" i="1"/>
  <c r="AP16" i="1"/>
  <c r="AM17" i="1"/>
  <c r="AP22" i="1"/>
  <c r="AJ24" i="1"/>
  <c r="AG26" i="1"/>
  <c r="AS34" i="1"/>
  <c r="AM36" i="1"/>
  <c r="AS42" i="1"/>
  <c r="AP43" i="1"/>
  <c r="AG47" i="1"/>
  <c r="AO58" i="4"/>
  <c r="AM10" i="4"/>
  <c r="AK111" i="4"/>
  <c r="AS66" i="4"/>
  <c r="AM68" i="4"/>
  <c r="AS86" i="4"/>
  <c r="AS92" i="4"/>
  <c r="AG142" i="4"/>
  <c r="AG163" i="4"/>
  <c r="AP20" i="4"/>
  <c r="AM22" i="4"/>
  <c r="AS8" i="4"/>
  <c r="AJ13" i="4"/>
  <c r="AJ14" i="4"/>
  <c r="AG15" i="4"/>
  <c r="AG16" i="4"/>
  <c r="AS19" i="4"/>
  <c r="AS20" i="4"/>
  <c r="AJ25" i="4"/>
  <c r="AP30" i="4"/>
  <c r="AS35" i="4"/>
  <c r="AG39" i="4"/>
  <c r="AG44" i="4"/>
  <c r="AS45" i="4"/>
  <c r="AP46" i="4"/>
  <c r="AJ53" i="4"/>
  <c r="AG54" i="4"/>
  <c r="AS57" i="4"/>
  <c r="AL111" i="4"/>
  <c r="AJ64" i="4"/>
  <c r="AG65" i="4"/>
  <c r="AS67" i="4"/>
  <c r="AJ71" i="4"/>
  <c r="AJ77" i="4"/>
  <c r="AS81" i="4"/>
  <c r="AP89" i="4"/>
  <c r="AS93" i="4"/>
  <c r="AP95" i="4"/>
  <c r="AS101" i="4"/>
  <c r="AM103" i="4"/>
  <c r="AJ105" i="4"/>
  <c r="AJ106" i="4"/>
  <c r="AG107" i="4"/>
  <c r="AS117" i="4"/>
  <c r="AP118" i="4"/>
  <c r="AG122" i="4"/>
  <c r="AP130" i="4"/>
  <c r="AM131" i="4"/>
  <c r="AS134" i="4"/>
  <c r="AG137" i="4"/>
  <c r="AM141" i="4"/>
  <c r="AP145" i="4"/>
  <c r="AM146" i="4"/>
  <c r="AJ147" i="4"/>
  <c r="AP150" i="4"/>
  <c r="AM151" i="4"/>
  <c r="AS155" i="4"/>
  <c r="AF52" i="1"/>
  <c r="AS4" i="1"/>
  <c r="AP10" i="1"/>
  <c r="AM11" i="1"/>
  <c r="AJ13" i="1"/>
  <c r="AJ26" i="1"/>
  <c r="AG27" i="1"/>
  <c r="AS32" i="1"/>
  <c r="AM37" i="1"/>
  <c r="AM38" i="1"/>
  <c r="AS41" i="1"/>
  <c r="AP42" i="1"/>
  <c r="AM43" i="1"/>
  <c r="AJ44" i="1"/>
  <c r="AP46" i="1"/>
  <c r="AJ48" i="1"/>
  <c r="AG15" i="1"/>
  <c r="AP14" i="4"/>
  <c r="AP15" i="4"/>
  <c r="AM16" i="4"/>
  <c r="AM17" i="4"/>
  <c r="AM27" i="4"/>
  <c r="AP32" i="4"/>
  <c r="AG36" i="4"/>
  <c r="AG41" i="4"/>
  <c r="AS42" i="4"/>
  <c r="AM44" i="4"/>
  <c r="AJ45" i="4"/>
  <c r="AG46" i="4"/>
  <c r="AP48" i="4"/>
  <c r="AJ50" i="4"/>
  <c r="AP53" i="4"/>
  <c r="AM54" i="4"/>
  <c r="AM55" i="4"/>
  <c r="AJ57" i="4"/>
  <c r="AG61" i="4"/>
  <c r="AP64" i="4"/>
  <c r="AJ80" i="4"/>
  <c r="AG81" i="4"/>
  <c r="AG82" i="4"/>
  <c r="AM86" i="4"/>
  <c r="AJ87" i="4"/>
  <c r="AS90" i="4"/>
  <c r="AP91" i="4"/>
  <c r="AG94" i="4"/>
  <c r="AP98" i="4"/>
  <c r="AS105" i="4"/>
  <c r="AM107" i="4"/>
  <c r="AG109" i="4"/>
  <c r="AS110" i="4"/>
  <c r="AL164" i="4"/>
  <c r="AM116" i="4"/>
  <c r="AP121" i="4"/>
  <c r="AM122" i="4"/>
  <c r="AM123" i="4"/>
  <c r="AJ124" i="4"/>
  <c r="AP127" i="4"/>
  <c r="AJ129" i="4"/>
  <c r="AG130" i="4"/>
  <c r="AS131" i="4"/>
  <c r="AM133" i="4"/>
  <c r="AG135" i="4"/>
  <c r="AP142" i="4"/>
  <c r="AM143" i="4"/>
  <c r="AP153" i="4"/>
  <c r="AG156" i="4"/>
  <c r="AS161" i="4"/>
  <c r="AP2" i="1"/>
  <c r="AG5" i="1"/>
  <c r="AS6" i="1"/>
  <c r="AP8" i="1"/>
  <c r="AG10" i="1"/>
  <c r="AS12" i="1"/>
  <c r="AM14" i="1"/>
  <c r="AG24" i="1"/>
  <c r="AJ28" i="1"/>
  <c r="AM35" i="1"/>
  <c r="AJ8" i="4"/>
  <c r="AF58" i="4"/>
  <c r="AG10" i="4"/>
  <c r="AS14" i="4"/>
  <c r="AJ20" i="4"/>
  <c r="AG22" i="4"/>
  <c r="AP26" i="4"/>
  <c r="AM28" i="4"/>
  <c r="AJ29" i="4"/>
  <c r="AG30" i="4"/>
  <c r="AP33" i="4"/>
  <c r="AS38" i="4"/>
  <c r="AM56" i="4"/>
  <c r="AP65" i="4"/>
  <c r="AJ67" i="4"/>
  <c r="AS71" i="4"/>
  <c r="AP72" i="4"/>
  <c r="AJ74" i="4"/>
  <c r="AP78" i="4"/>
  <c r="AM79" i="4"/>
  <c r="AP85" i="4"/>
  <c r="AJ88" i="4"/>
  <c r="AG89" i="4"/>
  <c r="AS97" i="4"/>
  <c r="AJ102" i="4"/>
  <c r="AP107" i="4"/>
  <c r="AM108" i="4"/>
  <c r="AJ109" i="4"/>
  <c r="AG110" i="4"/>
  <c r="AQ164" i="4"/>
  <c r="AP115" i="4"/>
  <c r="AS120" i="4"/>
  <c r="AP122" i="4"/>
  <c r="AM128" i="4"/>
  <c r="AP132" i="4"/>
  <c r="AJ139" i="4"/>
  <c r="AG140" i="4"/>
  <c r="AS147" i="4"/>
  <c r="AG150" i="4"/>
  <c r="AJ155" i="4"/>
  <c r="AJ4" i="1"/>
  <c r="AJ19" i="1"/>
  <c r="AG20" i="1"/>
  <c r="AS30" i="1"/>
  <c r="AP31" i="1"/>
  <c r="AP34" i="1"/>
  <c r="AP39" i="1"/>
  <c r="AM40" i="1"/>
  <c r="AM50" i="1"/>
  <c r="Z164" i="4"/>
  <c r="AJ158" i="4"/>
  <c r="AA58" i="4"/>
  <c r="AM62" i="4"/>
  <c r="AN52" i="1"/>
  <c r="AJ5" i="6"/>
  <c r="AP8" i="4"/>
  <c r="AQ111" i="4"/>
  <c r="AM8" i="4"/>
  <c r="AG9" i="4"/>
  <c r="AK5" i="6"/>
  <c r="Y58" i="4"/>
  <c r="AS50" i="4"/>
  <c r="AP61" i="4"/>
  <c r="AN111" i="4"/>
  <c r="AM65" i="4"/>
  <c r="AP71" i="4"/>
  <c r="AM101" i="4"/>
  <c r="Y164" i="4"/>
  <c r="AJ119" i="4"/>
  <c r="AM138" i="4"/>
  <c r="AS163" i="4"/>
  <c r="AJ7" i="1"/>
  <c r="AM31" i="1"/>
  <c r="AP51" i="1"/>
  <c r="AE58" i="4"/>
  <c r="AG2" i="1"/>
  <c r="AI5" i="6"/>
  <c r="AH5" i="6"/>
  <c r="AG5" i="6"/>
  <c r="AE52" i="1"/>
  <c r="AH58" i="4"/>
  <c r="AH111" i="4"/>
  <c r="AN164" i="4"/>
  <c r="Z111" i="4"/>
  <c r="AR164" i="4"/>
  <c r="AM115" i="4"/>
  <c r="AE164" i="4"/>
  <c r="AQ58" i="4"/>
  <c r="AA111" i="4"/>
  <c r="AR111" i="4"/>
  <c r="AS114" i="4"/>
  <c r="AE111" i="4"/>
  <c r="AF164" i="4"/>
  <c r="AQ52" i="1"/>
  <c r="AP69" i="4"/>
  <c r="AM70" i="4"/>
  <c r="AM106" i="4"/>
  <c r="AI164" i="4"/>
  <c r="AM2" i="1"/>
  <c r="AK164" i="4"/>
  <c r="AM114" i="4"/>
  <c r="AM130" i="4"/>
  <c r="AL52" i="1"/>
  <c r="AK52" i="1"/>
  <c r="AR58" i="4"/>
  <c r="AS61" i="4"/>
  <c r="AH52" i="1"/>
  <c r="AG8" i="4"/>
  <c r="AJ54" i="4"/>
  <c r="AS76" i="4"/>
  <c r="AG95" i="4"/>
  <c r="AS129" i="4"/>
  <c r="AJ17" i="1"/>
  <c r="AJ21" i="1"/>
  <c r="AJ52" i="4"/>
  <c r="AJ66" i="4"/>
  <c r="AJ78" i="4"/>
  <c r="AJ144" i="4"/>
  <c r="AJ156" i="4"/>
  <c r="AJ33" i="1"/>
  <c r="AJ41" i="1"/>
  <c r="Z52" i="1"/>
  <c r="AP63" i="4"/>
  <c r="AP75" i="4"/>
  <c r="AS140" i="4"/>
  <c r="AP147" i="4"/>
  <c r="AS152" i="4"/>
  <c r="AP159" i="4"/>
  <c r="AR52" i="1"/>
  <c r="AP44" i="1"/>
  <c r="AJ142" i="4"/>
  <c r="AJ154" i="4"/>
  <c r="AJ3" i="1"/>
  <c r="AJ15" i="1"/>
  <c r="AJ27" i="1"/>
  <c r="AJ39" i="1"/>
  <c r="AJ51" i="1"/>
  <c r="AH164" i="4"/>
  <c r="AE12" i="6" a="1"/>
  <c r="AE12" i="6" s="1"/>
  <c r="AP151" i="4"/>
  <c r="AP163" i="4"/>
  <c r="AA52" i="1"/>
  <c r="AP12" i="1"/>
  <c r="AP24" i="1"/>
  <c r="AP36" i="1"/>
  <c r="AP48" i="1"/>
  <c r="CE5" i="6" a="1"/>
  <c r="CE5" i="6" s="1"/>
  <c r="AF5" i="6"/>
  <c r="AE5" i="6"/>
  <c r="CF5" i="6" a="1"/>
  <c r="CF5" i="6" s="1"/>
  <c r="AJ150" i="4"/>
  <c r="AJ162" i="4"/>
  <c r="AJ11" i="1"/>
  <c r="AJ23" i="1"/>
  <c r="AJ35" i="1"/>
  <c r="AJ47" i="1"/>
  <c r="AS52" i="1" l="1"/>
  <c r="AP58" i="4"/>
  <c r="AG164" i="4"/>
  <c r="AM111" i="4"/>
  <c r="AJ52" i="1"/>
  <c r="AJ58" i="4"/>
  <c r="AS58" i="4"/>
  <c r="AG58" i="4"/>
  <c r="AP52" i="1"/>
  <c r="AJ164" i="4"/>
  <c r="AM58" i="4"/>
  <c r="AP164" i="4"/>
  <c r="AJ111" i="4"/>
  <c r="AM164" i="4"/>
  <c r="AG111" i="4"/>
  <c r="AM52" i="1"/>
  <c r="AG52" i="1"/>
  <c r="AP111" i="4"/>
  <c r="AS164" i="4"/>
  <c r="AS111" i="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<sst xmlns="http://schemas.openxmlformats.org/spreadsheetml/2006/main" count="1774" uniqueCount="337">
  <si>
    <t>Week</t>
  </si>
  <si>
    <t>Vessel</t>
  </si>
  <si>
    <t>Voyage</t>
  </si>
  <si>
    <t>ETA</t>
  </si>
  <si>
    <t>ETD</t>
  </si>
  <si>
    <t>Cut-Off</t>
  </si>
  <si>
    <t>ETA T/S</t>
  </si>
  <si>
    <t>Comments 1</t>
  </si>
  <si>
    <t>Booking number</t>
  </si>
  <si>
    <t>O/V</t>
  </si>
  <si>
    <t>SVC</t>
  </si>
  <si>
    <t>Booking status</t>
  </si>
  <si>
    <t>CNTR AMT</t>
  </si>
  <si>
    <t>SIZE</t>
  </si>
  <si>
    <t>TYPE</t>
  </si>
  <si>
    <t>GWT</t>
  </si>
  <si>
    <t>POL</t>
  </si>
  <si>
    <t>EU TS</t>
  </si>
  <si>
    <t>POD CODE</t>
  </si>
  <si>
    <t>POD</t>
  </si>
  <si>
    <t>CUSTOMER</t>
  </si>
  <si>
    <t>Comments 2</t>
  </si>
  <si>
    <t>RowStatus</t>
  </si>
  <si>
    <t>CancelReason</t>
  </si>
  <si>
    <t>Summary</t>
  </si>
  <si>
    <t>TEU</t>
  </si>
  <si>
    <t>TS</t>
  </si>
  <si>
    <t>BlockID</t>
  </si>
  <si>
    <t>RowID</t>
  </si>
  <si>
    <t>Total</t>
  </si>
  <si>
    <t>.</t>
  </si>
  <si>
    <t>Timestamp</t>
  </si>
  <si>
    <t>User</t>
  </si>
  <si>
    <t>Field</t>
  </si>
  <si>
    <t>OldValue</t>
  </si>
  <si>
    <t>NewValue</t>
  </si>
  <si>
    <t>Year</t>
  </si>
  <si>
    <t>Month</t>
  </si>
  <si>
    <t>Filter for report</t>
  </si>
  <si>
    <t>Calculations</t>
  </si>
  <si>
    <t>Changes</t>
  </si>
  <si>
    <t>DO</t>
  </si>
  <si>
    <t>NOT</t>
  </si>
  <si>
    <t>TOUCH</t>
  </si>
  <si>
    <t>THESE</t>
  </si>
  <si>
    <t>CELLS</t>
  </si>
  <si>
    <t>!!!</t>
  </si>
  <si>
    <t>Helper cells</t>
  </si>
  <si>
    <t>Total TEU</t>
  </si>
  <si>
    <t>Change count</t>
  </si>
  <si>
    <t>ETA changes</t>
  </si>
  <si>
    <t>Vessel changes</t>
  </si>
  <si>
    <t>Voyage changes</t>
  </si>
  <si>
    <t>ETA T/S changes</t>
  </si>
  <si>
    <t>Vessel list</t>
  </si>
  <si>
    <t>Week list</t>
  </si>
  <si>
    <t>Month list</t>
  </si>
  <si>
    <t>Year list</t>
  </si>
  <si>
    <t>Voyage list</t>
  </si>
  <si>
    <t>All voyages</t>
  </si>
  <si>
    <t>Main Data</t>
  </si>
  <si>
    <t>History</t>
  </si>
  <si>
    <t>Cut-off</t>
  </si>
  <si>
    <t>Comments1</t>
  </si>
  <si>
    <t>Time of change</t>
  </si>
  <si>
    <t>Active rows</t>
  </si>
  <si>
    <t>Cancelled rows</t>
  </si>
  <si>
    <t>Total containers</t>
  </si>
  <si>
    <t>Loaded containers</t>
  </si>
  <si>
    <t>Empty containers</t>
  </si>
  <si>
    <t>Loaded TEU</t>
  </si>
  <si>
    <t>Empty TEU</t>
  </si>
  <si>
    <t>Total 20'</t>
  </si>
  <si>
    <t>Loaded 20'</t>
  </si>
  <si>
    <t>Empty 20'</t>
  </si>
  <si>
    <t>Total 40'</t>
  </si>
  <si>
    <t>Loaded 40'</t>
  </si>
  <si>
    <t>Empty 40'</t>
  </si>
  <si>
    <t>Total GWT</t>
  </si>
  <si>
    <t>Loaded GWT</t>
  </si>
  <si>
    <t>Empty GWT</t>
  </si>
  <si>
    <t>Invalid SIZE qty</t>
  </si>
  <si>
    <t>Week changes</t>
  </si>
  <si>
    <t>ETD changes</t>
  </si>
  <si>
    <t>Cut-Off changes</t>
  </si>
  <si>
    <t>Voyage view</t>
  </si>
  <si>
    <t>Loaded Cntrs</t>
  </si>
  <si>
    <t>Empty Cntrs</t>
  </si>
  <si>
    <t>Total Cntrs</t>
  </si>
  <si>
    <t>LoadStatus</t>
  </si>
  <si>
    <t>Loaded Containers</t>
  </si>
  <si>
    <t>Empty Containers</t>
  </si>
  <si>
    <t>Total Containers</t>
  </si>
  <si>
    <t>Loaded 20ft</t>
  </si>
  <si>
    <t>Empty 20ft</t>
  </si>
  <si>
    <t>Total 20ft</t>
  </si>
  <si>
    <t>Loaded 40ft</t>
  </si>
  <si>
    <t>Empty 40ft</t>
  </si>
  <si>
    <t>Total 40ft</t>
  </si>
  <si>
    <t>Do not delete worksheet rows. Hide unused rows only.</t>
  </si>
  <si>
    <t>MV Aurora Demo</t>
  </si>
  <si>
    <t>AD361</t>
  </si>
  <si>
    <t>Synthetic portfolio record</t>
  </si>
  <si>
    <t>DEMO-BKG-3601</t>
  </si>
  <si>
    <t>O</t>
  </si>
  <si>
    <t>DEMO-BALTIC</t>
  </si>
  <si>
    <t>Confirmed</t>
  </si>
  <si>
    <t>DRY</t>
  </si>
  <si>
    <t>Demoport East</t>
  </si>
  <si>
    <t>No</t>
  </si>
  <si>
    <t>DMW</t>
  </si>
  <si>
    <t>Demoport West</t>
  </si>
  <si>
    <t>Northwind Demo Foods</t>
  </si>
  <si>
    <t>Generated independently for demonstration</t>
  </si>
  <si>
    <t>Active</t>
  </si>
  <si>
    <t>2026-W36</t>
  </si>
  <si>
    <t>2026-W36|R01</t>
  </si>
  <si>
    <t>DEMO-BKG-3602</t>
  </si>
  <si>
    <t>HC</t>
  </si>
  <si>
    <t>Contoso Demo Retail</t>
  </si>
  <si>
    <t>2026-W36|R02</t>
  </si>
  <si>
    <t>Empty</t>
  </si>
  <si>
    <t>DEMO-BKG-3603</t>
  </si>
  <si>
    <t>REEFER</t>
  </si>
  <si>
    <t>Fabrikam Demo Components</t>
  </si>
  <si>
    <t>2026-W36|R03</t>
  </si>
  <si>
    <t>Loaded</t>
  </si>
  <si>
    <t>MV Baltic Comet Demo</t>
  </si>
  <si>
    <t>BC361</t>
  </si>
  <si>
    <t>DEMO-BKG-3604</t>
  </si>
  <si>
    <t>DEMO-NORTH</t>
  </si>
  <si>
    <t>Demoport North</t>
  </si>
  <si>
    <t>DMS</t>
  </si>
  <si>
    <t>Demoport South</t>
  </si>
  <si>
    <t>Adventure Works Demo</t>
  </si>
  <si>
    <t>2026-W36|R04</t>
  </si>
  <si>
    <t>2026-W37|R10</t>
  </si>
  <si>
    <t>DEMO-BKG-3606</t>
  </si>
  <si>
    <t>Cancelled</t>
  </si>
  <si>
    <t>Synthetic customer cancellation</t>
  </si>
  <si>
    <t>2026-W36|R06</t>
  </si>
  <si>
    <t>MV Northstar Demo</t>
  </si>
  <si>
    <t>NS361</t>
  </si>
  <si>
    <t>DEMO-BKG-3607</t>
  </si>
  <si>
    <t>DEMO-FEEDER</t>
  </si>
  <si>
    <t>DME</t>
  </si>
  <si>
    <t>2026-W36|R07</t>
  </si>
  <si>
    <t>2026-W36|R08</t>
  </si>
  <si>
    <t>2026-W36|R09</t>
  </si>
  <si>
    <t>2026-W36|R10</t>
  </si>
  <si>
    <t>2026-W36|R11</t>
  </si>
  <si>
    <t>2026-W36|R12</t>
  </si>
  <si>
    <t>2026-W36|R13</t>
  </si>
  <si>
    <t>2026-W36|R14</t>
  </si>
  <si>
    <t>2026-W36|R15</t>
  </si>
  <si>
    <t>2026-W36|R16</t>
  </si>
  <si>
    <t>2026-W36|R17</t>
  </si>
  <si>
    <t>2026-W36|R18</t>
  </si>
  <si>
    <t>2026-W36|R19</t>
  </si>
  <si>
    <t>2026-W36|R20</t>
  </si>
  <si>
    <t>2026-W36|R21</t>
  </si>
  <si>
    <t>2026-W36|R22</t>
  </si>
  <si>
    <t>2026-W36|R23</t>
  </si>
  <si>
    <t>2026-W36|R24</t>
  </si>
  <si>
    <t>2026-W36|R25</t>
  </si>
  <si>
    <t>2026-W36|R26</t>
  </si>
  <si>
    <t>2026-W36|R27</t>
  </si>
  <si>
    <t>2026-W36|R28</t>
  </si>
  <si>
    <t>2026-W36|R29</t>
  </si>
  <si>
    <t>2026-W36|R30</t>
  </si>
  <si>
    <t>2026-W36|R31</t>
  </si>
  <si>
    <t>2026-W36|R32</t>
  </si>
  <si>
    <t>2026-W36|R33</t>
  </si>
  <si>
    <t>2026-W36|R34</t>
  </si>
  <si>
    <t>2026-W36|R35</t>
  </si>
  <si>
    <t>2026-W36|R36</t>
  </si>
  <si>
    <t>2026-W36|R37</t>
  </si>
  <si>
    <t>2026-W36|R38</t>
  </si>
  <si>
    <t>2026-W36|R39</t>
  </si>
  <si>
    <t>2026-W36|R40</t>
  </si>
  <si>
    <t>2026-W36|R41</t>
  </si>
  <si>
    <t>2026-W36|R42</t>
  </si>
  <si>
    <t>2026-W36|R43</t>
  </si>
  <si>
    <t>2026-W36|R44</t>
  </si>
  <si>
    <t>2026-W36|R45</t>
  </si>
  <si>
    <t>2026-W36|R46</t>
  </si>
  <si>
    <t>2026-W36|R47</t>
  </si>
  <si>
    <t>2026-W36|R48</t>
  </si>
  <si>
    <t>2026-W36|R49</t>
  </si>
  <si>
    <t>2026-W36|R50</t>
  </si>
  <si>
    <t>AD371</t>
  </si>
  <si>
    <t>DEMO-BKG-3701</t>
  </si>
  <si>
    <t>2026-W37</t>
  </si>
  <si>
    <t>2026-W37|R01</t>
  </si>
  <si>
    <t>DEMO-BKG-3702</t>
  </si>
  <si>
    <t>2026-W37|R02</t>
  </si>
  <si>
    <t>BC371</t>
  </si>
  <si>
    <t>DEMO-BKG-3703</t>
  </si>
  <si>
    <t>2026-W37|R03</t>
  </si>
  <si>
    <t>DEMO-BKG-3704</t>
  </si>
  <si>
    <t>2026-W37|R04</t>
  </si>
  <si>
    <t>NS371</t>
  </si>
  <si>
    <t>DEMO-BKG-3705</t>
  </si>
  <si>
    <t>2026-W37|R05</t>
  </si>
  <si>
    <t>DEMO-BKG-3706</t>
  </si>
  <si>
    <t>2026-W37|R06</t>
  </si>
  <si>
    <t>DEMO-BKG-3707</t>
  </si>
  <si>
    <t>Synthetic documentation hold</t>
  </si>
  <si>
    <t>2026-W37|R07</t>
  </si>
  <si>
    <t>DEMO-BKG-3708</t>
  </si>
  <si>
    <t>Intentional demo DQ case: missing POD CODE</t>
  </si>
  <si>
    <t>2026-W37|R08</t>
  </si>
  <si>
    <t>DEMO-BKG-3709</t>
  </si>
  <si>
    <t>Intentional demo DQ case: unsupported SIZE and missing TYPE</t>
  </si>
  <si>
    <t>2026-W37|R09</t>
  </si>
  <si>
    <t>Synthetic record relocated from Week 36</t>
  </si>
  <si>
    <t>DEMO-BKG-MOVE-01</t>
  </si>
  <si>
    <t>2026-W36|R05</t>
  </si>
  <si>
    <t>2026-W37|R11</t>
  </si>
  <si>
    <t>2026-W37|R12</t>
  </si>
  <si>
    <t>2026-W37|R13</t>
  </si>
  <si>
    <t>2026-W37|R14</t>
  </si>
  <si>
    <t>2026-W37|R15</t>
  </si>
  <si>
    <t>2026-W37|R16</t>
  </si>
  <si>
    <t>2026-W37|R17</t>
  </si>
  <si>
    <t>2026-W37|R18</t>
  </si>
  <si>
    <t>2026-W37|R19</t>
  </si>
  <si>
    <t>2026-W37|R20</t>
  </si>
  <si>
    <t>2026-W37|R21</t>
  </si>
  <si>
    <t>2026-W37|R22</t>
  </si>
  <si>
    <t>2026-W37|R23</t>
  </si>
  <si>
    <t>2026-W37|R24</t>
  </si>
  <si>
    <t>2026-W37|R25</t>
  </si>
  <si>
    <t>2026-W37|R26</t>
  </si>
  <si>
    <t>2026-W37|R27</t>
  </si>
  <si>
    <t>2026-W37|R28</t>
  </si>
  <si>
    <t>2026-W37|R29</t>
  </si>
  <si>
    <t>2026-W37|R30</t>
  </si>
  <si>
    <t>2026-W37|R31</t>
  </si>
  <si>
    <t>2026-W37|R32</t>
  </si>
  <si>
    <t>2026-W37|R33</t>
  </si>
  <si>
    <t>2026-W37|R34</t>
  </si>
  <si>
    <t>2026-W37|R35</t>
  </si>
  <si>
    <t>2026-W37|R36</t>
  </si>
  <si>
    <t>2026-W37|R37</t>
  </si>
  <si>
    <t>2026-W37|R38</t>
  </si>
  <si>
    <t>2026-W37|R39</t>
  </si>
  <si>
    <t>2026-W37|R40</t>
  </si>
  <si>
    <t>2026-W37|R41</t>
  </si>
  <si>
    <t>2026-W37|R42</t>
  </si>
  <si>
    <t>2026-W37|R43</t>
  </si>
  <si>
    <t>2026-W37|R44</t>
  </si>
  <si>
    <t>2026-W37|R45</t>
  </si>
  <si>
    <t>2026-W37|R46</t>
  </si>
  <si>
    <t>2026-W37|R47</t>
  </si>
  <si>
    <t>2026-W37|R48</t>
  </si>
  <si>
    <t>2026-W37|R49</t>
  </si>
  <si>
    <t>2026-W37|R50</t>
  </si>
  <si>
    <t>AD381</t>
  </si>
  <si>
    <t>DEMO-BKG-3801</t>
  </si>
  <si>
    <t>2026-W38</t>
  </si>
  <si>
    <t>2026-W38|R01</t>
  </si>
  <si>
    <t>DEMO-BKG-3802</t>
  </si>
  <si>
    <t>2026-W38|R02</t>
  </si>
  <si>
    <t>BC381</t>
  </si>
  <si>
    <t>DEMO-BKG-3803</t>
  </si>
  <si>
    <t>2026-W38|R03</t>
  </si>
  <si>
    <t>NS381</t>
  </si>
  <si>
    <t>DEMO-BKG-3804</t>
  </si>
  <si>
    <t>2026-W38|R04</t>
  </si>
  <si>
    <t>DEMO-BKG-3805</t>
  </si>
  <si>
    <t>2026-W38|R05</t>
  </si>
  <si>
    <t>DEMO-BKG-3806</t>
  </si>
  <si>
    <t>Synthetic booking withdrawn</t>
  </si>
  <si>
    <t>2026-W38|R06</t>
  </si>
  <si>
    <t>2026-W38|R07</t>
  </si>
  <si>
    <t>2026-W38|R08</t>
  </si>
  <si>
    <t>2026-W38|R09</t>
  </si>
  <si>
    <t>2026-W38|R10</t>
  </si>
  <si>
    <t>2026-W38|R11</t>
  </si>
  <si>
    <t>2026-W38|R12</t>
  </si>
  <si>
    <t>2026-W38|R13</t>
  </si>
  <si>
    <t>2026-W38|R14</t>
  </si>
  <si>
    <t>2026-W38|R15</t>
  </si>
  <si>
    <t>2026-W38|R16</t>
  </si>
  <si>
    <t>2026-W38|R17</t>
  </si>
  <si>
    <t>2026-W38|R18</t>
  </si>
  <si>
    <t>2026-W38|R19</t>
  </si>
  <si>
    <t>2026-W38|R20</t>
  </si>
  <si>
    <t>2026-W38|R21</t>
  </si>
  <si>
    <t>2026-W38|R22</t>
  </si>
  <si>
    <t>2026-W38|R23</t>
  </si>
  <si>
    <t>2026-W38|R24</t>
  </si>
  <si>
    <t>2026-W38|R25</t>
  </si>
  <si>
    <t>2026-W38|R26</t>
  </si>
  <si>
    <t>2026-W38|R27</t>
  </si>
  <si>
    <t>2026-W38|R28</t>
  </si>
  <si>
    <t>2026-W38|R29</t>
  </si>
  <si>
    <t>2026-W38|R30</t>
  </si>
  <si>
    <t>2026-W38|R31</t>
  </si>
  <si>
    <t>2026-W38|R32</t>
  </si>
  <si>
    <t>2026-W38|R33</t>
  </si>
  <si>
    <t>2026-W38|R34</t>
  </si>
  <si>
    <t>2026-W38|R35</t>
  </si>
  <si>
    <t>2026-W38|R36</t>
  </si>
  <si>
    <t>2026-W38|R37</t>
  </si>
  <si>
    <t>2026-W38|R38</t>
  </si>
  <si>
    <t>2026-W38|R39</t>
  </si>
  <si>
    <t>2026-W38|R40</t>
  </si>
  <si>
    <t>2026-W38|R41</t>
  </si>
  <si>
    <t>2026-W38|R42</t>
  </si>
  <si>
    <t>2026-W38|R43</t>
  </si>
  <si>
    <t>2026-W38|R44</t>
  </si>
  <si>
    <t>2026-W38|R45</t>
  </si>
  <si>
    <t>2026-W38|R46</t>
  </si>
  <si>
    <t>2026-W38|R47</t>
  </si>
  <si>
    <t>2026-W38|R48</t>
  </si>
  <si>
    <t>2026-W38|R49</t>
  </si>
  <si>
    <t>2026-W38|R50</t>
  </si>
  <si>
    <t>demo.operator</t>
  </si>
  <si>
    <t>2026-09-01</t>
  </si>
  <si>
    <t>2026-09-02</t>
  </si>
  <si>
    <t>2026-09-04</t>
  </si>
  <si>
    <t>2026-09-05</t>
  </si>
  <si>
    <t>2026-09-08</t>
  </si>
  <si>
    <t>2026-09-09</t>
  </si>
  <si>
    <t>MV Baltic Star Demo</t>
  </si>
  <si>
    <t>BC370</t>
  </si>
  <si>
    <t>2026-09-17</t>
  </si>
  <si>
    <t>2026-09-18</t>
  </si>
  <si>
    <t>Tentative</t>
  </si>
  <si>
    <t>2026-09-10</t>
  </si>
  <si>
    <t>2026-09-15</t>
  </si>
  <si>
    <t>2026-09-16</t>
  </si>
  <si>
    <t>2026-09-19</t>
  </si>
  <si>
    <t>Logistics Operations Demo Workbook - User Guide</t>
  </si>
  <si>
    <t>Portfolio Demo
This workbook contains entirely fictional synthetic logistics data created for a public software portfolio. It contains no production, customer, employee, company, SharePoint, or operational records.
Purpose
The workbook demonstrates weekly vessel planning, change history, derived master data, Excel reporting, and the read-only Python Logistics Analytics Dashboard.
Main sheets
WEEKLY is the authoritative current operational view. Three synthetic Week blocks demonstrate loaded and empty equipment, cancellations, multiple vessels, voyages, services, customers, and a stable RowID relocation from Week 36 to Week 37.
TEMPLATE is the hidden structural source used by New Week. Do not enter data there.
LOG_HISTORY contains fictional historical events.
MASTER_DATA is a derived reporting copy. WEEKLY remains authoritative.
REPORT provides Excel filters and KPI summaries.
Buttons
New Week creates another Week block from TEMPLATE.
Refresh Report rebuilds MASTER_DATA from WEEKLY.
Clear Filters clears REPORT filter cells.
Identity
RowID is a permanent opaque logical-record identifier. BlockID is current physical Week-block context. Week is editable business data. The synthetic relocation example keeps RowID 2026-W36|R05 while its current Week and BlockID are Week 37.
Calculations
Blank LoadStatus means Loaded. SIZE 2 is 20ft and one TEU per container. SIZE 4 is 40ft and two TEU per container. Cancelled rows remain visible but contribute zero operational quantities.
Demo data quality
The dataset deliberately includes one missing POD CODE and one unsupported SIZE/missing TYPE row so the dashboard's Data Quality screen is non-empty.
Safety
Use this workbook only as a demo. Enable macros only after reviewing the VBA project and according to your Microsoft Office security policy.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</si>
</sst>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hh:mm"/>
    <numFmt numFmtId="165" formatCode="yyyy\-mm\-dd"/>
    <numFmt numFmtId="166" formatCode="yyyy\-mm\-dd;;;"/>
  </numFmts>
  <fonts count="18">
    <font>
      <sz val="11"/>
      <color theme="1"/>
      <name val="Aptos Narrow"/>
      <family val="2"/>
      <scheme val="minor"/>
    </font>
    <font>
      <sz val="11"/>
      <color rgb="FF9C5700"/>
      <name val="Aptos Narrow"/>
      <family val="2"/>
      <scheme val="minor"/>
    </font>
    <font>
      <b/>
      <sz val="11"/>
      <color theme="0"/>
      <name val="Aptos Narrow"/>
      <family val="2"/>
      <scheme val="minor"/>
    </font>
    <font>
      <sz val="8"/>
      <name val="Aptos Narrow"/>
      <family val="2"/>
      <scheme val="minor"/>
    </font>
    <font>
      <b/>
      <sz val="15"/>
      <color theme="3"/>
      <name val="Aptos Narrow"/>
      <family val="2"/>
      <scheme val="minor"/>
    </font>
    <font>
      <b/>
      <sz val="18"/>
      <color theme="0"/>
      <name val="Aptos Narrow"/>
      <family val="2"/>
      <scheme val="minor"/>
    </font>
    <font>
      <sz val="10"/>
      <color rgb="FF222222"/>
      <name val="Aptos"/>
    </font>
    <font>
      <b/>
      <sz val="10"/>
      <color rgb="FFFFFFFF"/>
      <name val="Aptos"/>
    </font>
    <font>
      <b/>
      <sz val="14"/>
      <color rgb="FFFFFFFF"/>
      <name val="Aptos"/>
    </font>
    <font>
      <b/>
      <sz val="10"/>
      <color rgb="FF17365D"/>
      <name val="Aptos"/>
    </font>
    <font>
      <b/>
      <sz val="13"/>
      <color rgb="FFFFFFFF"/>
      <name val="Aptos"/>
    </font>
    <font>
      <b/>
      <sz val="15"/>
      <color rgb="FF17365D"/>
      <name val="Aptos"/>
    </font>
    <font>
      <sz val="10"/>
      <color theme="1"/>
      <name val="Aptos"/>
      <family val="2"/>
    </font>
    <font>
      <b/>
      <sz val="10"/>
      <color rgb="FFFFFFFF"/>
      <name val="Aptos"/>
      <family val="2"/>
    </font>
    <font>
      <sz val="10"/>
      <color rgb="FF263238"/>
      <name val="Aptos"/>
      <family val="2"/>
    </font>
    <font>
      <sz val="11"/>
      <color rgb="FF006100"/>
      <name val="Aptos Narrow"/>
      <family val="2"/>
      <scheme val="minor"/>
    </font>
    <font>
      <sz val="14"/>
      <color theme="1"/>
      <name val="Aptos Narrow"/>
      <family val="2"/>
      <scheme val="minor"/>
    </font>
    <font>
      <sz val="11"/>
      <color rgb="FF000000"/>
      <name val="Aptos Narrow"/>
    </font>
  </fonts>
  <fills count="19">
    <fill>
      <patternFill patternType="none"/>
    </fill>
    <fill>
      <patternFill patternType="gray125"/>
    </fill>
    <fill>
      <patternFill patternType="solid">
        <fgColor rgb="FFFFEB9C"/>
      </patternFill>
    </fill>
    <fill>
      <patternFill patternType="solid">
        <fgColor rgb="FFA5A5A5"/>
      </patternFill>
    </fill>
    <fill>
      <patternFill patternType="solid">
        <fgColor theme="9"/>
        <bgColor indexed="64"/>
      </patternFill>
    </fill>
    <fill>
      <patternFill patternType="solid">
        <fgColor rgb="FFFF0000"/>
        <bgColor indexed="64"/>
      </patternFill>
    </fill>
    <fill>
      <patternFill patternType="solid">
        <fgColor rgb="FFFFFF00"/>
        <bgColor indexed="64"/>
      </patternFill>
    </fill>
    <fill>
      <patternFill patternType="solid">
        <fgColor theme="1"/>
        <bgColor indexed="64"/>
      </patternFill>
    </fill>
    <fill>
      <patternFill patternType="solid">
        <fgColor rgb="FF17365D"/>
        <bgColor indexed="64"/>
      </patternFill>
    </fill>
    <fill>
      <patternFill patternType="solid">
        <fgColor rgb="FF2F75B5"/>
        <bgColor indexed="64"/>
      </patternFill>
    </fill>
    <fill>
      <patternFill patternType="solid">
        <fgColor rgb="FFFFF2CC"/>
        <bgColor indexed="64"/>
      </patternFill>
    </fill>
    <fill>
      <patternFill patternType="solid">
        <fgColor rgb="FF1F6D7A"/>
        <bgColor indexed="64"/>
      </patternFill>
    </fill>
    <fill>
      <patternFill patternType="solid">
        <fgColor rgb="FFDCE6F1"/>
        <bgColor indexed="64"/>
      </patternFill>
    </fill>
    <fill>
      <patternFill patternType="solid">
        <fgColor rgb="FF31869B"/>
        <bgColor indexed="64"/>
      </patternFill>
    </fill>
    <fill>
      <patternFill patternType="solid">
        <fgColor rgb="FFFFFFFF"/>
        <bgColor indexed="64"/>
      </patternFill>
    </fill>
    <fill>
      <patternFill patternType="solid">
        <fgColor rgb="FF334E68"/>
        <bgColor indexed="64"/>
      </patternFill>
    </fill>
    <fill>
      <patternFill patternType="solid">
        <fgColor theme="2"/>
        <bgColor indexed="64"/>
      </patternFill>
    </fill>
    <fill>
      <patternFill patternType="solid">
        <fgColor rgb="FFE2EFDA"/>
        <bgColor indexed="64"/>
      </patternFill>
    </fill>
    <fill>
      <patternFill patternType="solid">
        <fgColor rgb="FFDDEBF7"/>
        <bgColor indexed="64"/>
      </patternFill>
    </fill>
  </fills>
  <borders count="11">
    <border>
      <left/>
      <right/>
      <top/>
      <bottom/>
      <diagonal/>
    </border>
    <border>
      <left style="double">
        <color rgb="FF3F3F3F"/>
      </left>
      <right style="double">
        <color rgb="FF3F3F3F"/>
      </right>
      <top style="double">
        <color rgb="FF3F3F3F"/>
      </top>
      <bottom style="double">
        <color rgb="FF3F3F3F"/>
      </bottom>
      <diagonal/>
    </border>
    <border>
      <left style="thin">
        <color auto="1"/>
      </left>
      <right style="thin">
        <color auto="1"/>
      </right>
      <top style="thin">
        <color auto="1"/>
      </top>
      <bottom style="thin">
        <color auto="1"/>
      </bottom>
      <diagonal/>
    </border>
    <border>
      <left/>
      <right/>
      <top/>
      <bottom style="thick">
        <color theme="4"/>
      </bottom>
      <diagonal/>
    </border>
    <border>
      <left style="thin">
        <color auto="1"/>
      </left>
      <right style="thin">
        <color auto="1"/>
      </right>
      <top style="thin">
        <color auto="1"/>
      </top>
      <bottom/>
      <diagonal/>
    </border>
    <border>
      <left style="thin">
        <color rgb="FFB4C6E7"/>
      </left>
      <right style="thin">
        <color rgb="FFB4C6E7"/>
      </right>
      <top style="thin">
        <color rgb="FFB4C6E7"/>
      </top>
      <bottom style="thin">
        <color rgb="FFB4C6E7"/>
      </bottom>
      <diagonal/>
    </border>
    <border>
      <left style="thin">
        <color rgb="FFFFFFFF"/>
      </left>
      <right style="thin">
        <color rgb="FFFFFFFF"/>
      </right>
      <top style="thin">
        <color rgb="FFFFFFFF"/>
      </top>
      <bottom style="thin">
        <color rgb="FFFFFFFF"/>
      </bottom>
      <diagonal/>
    </border>
    <border>
      <left/>
      <right/>
      <top style="thin">
        <color auto="1"/>
      </top>
      <bottom style="thin">
        <color rgb="FFE6E6E6"/>
      </bottom>
      <diagonal/>
    </border>
    <border>
      <left/>
      <right/>
      <top style="thin">
        <color rgb="FFE6E6E6"/>
      </top>
      <bottom style="thin">
        <color rgb="FFE6E6E6"/>
      </bottom>
      <diagonal/>
    </border>
    <border>
      <left/>
      <right/>
      <top style="thin">
        <color rgb="FFE6E6E6"/>
      </top>
      <bottom/>
      <diagonal/>
    </border>
    <border>
      <left/>
      <right/>
      <top/>
      <bottom style="hair">
        <color auto="1"/>
      </bottom>
      <diagonal/>
    </border>
  </borders>
  <cellStyleXfs count="6">
    <xf numFmtId="0" fontId="0" fillId="0" borderId="0"/>
    <xf numFmtId="0" fontId="1" fillId="2" borderId="0" applyNumberFormat="0" applyBorder="0" applyAlignment="0" applyProtection="0"/>
    <xf numFmtId="0" fontId="2" fillId="3" borderId="1" applyNumberFormat="0" applyAlignment="0" applyProtection="0"/>
    <xf numFmtId="0" fontId="4" fillId="0" borderId="3" applyNumberFormat="0" applyFill="0" applyAlignment="0" applyProtection="0"/>
    <xf numFmtId="0" fontId="15" fillId="16" borderId="0"/>
    <xf numFmtId="0" fontId="15" fillId="16" borderId="0"/>
  </cellStyleXfs>
  <cellXfs count="70">
    <xf numFmtId="0" fontId="0" fillId="0" borderId="0" xfId="0"/>
    <xf numFmtId="0" fontId="0" fillId="4" borderId="0" xfId="0" applyFill="1"/>
    <xf numFmtId="0" fontId="0" fillId="5" borderId="0" xfId="0" applyFill="1"/>
    <xf numFmtId="0" fontId="0" fillId="6" borderId="0" xfId="0" applyFill="1"/>
    <xf numFmtId="164" fontId="0" fillId="0" borderId="0" xfId="0" applyNumberFormat="1"/>
    <xf numFmtId="0" fontId="6" fillId="0" borderId="0" xfId="0" applyFont="1" applyAlignment="1">
      <alignment vertical="center"/>
    </xf>
    <xf numFmtId="0" fontId="7" fillId="9" borderId="5" xfId="2" applyFont="1" applyFill="1" applyBorder="1" applyAlignment="1">
      <alignment horizontal="left" vertical="center"/>
    </xf>
    <xf numFmtId="0" fontId="9" fillId="10" borderId="5" xfId="1" applyFont="1" applyFill="1" applyBorder="1" applyAlignment="1">
      <alignment horizontal="center" vertical="center"/>
    </xf>
    <xf numFmtId="49" fontId="9" fillId="10" borderId="5" xfId="1" applyNumberFormat="1" applyFont="1" applyFill="1" applyBorder="1" applyAlignment="1">
      <alignment horizontal="center" vertical="center"/>
    </xf>
    <xf numFmtId="0" fontId="10" fillId="8" borderId="0" xfId="0" applyFont="1" applyFill="1" applyAlignment="1">
      <alignment horizontal="center" vertical="center"/>
    </xf>
    <xf numFmtId="0" fontId="10" fillId="11" borderId="0" xfId="0" applyFont="1" applyFill="1" applyAlignment="1">
      <alignment horizontal="center" vertical="center"/>
    </xf>
    <xf numFmtId="0" fontId="7" fillId="9" borderId="6" xfId="3" applyFont="1" applyFill="1" applyBorder="1" applyAlignment="1">
      <alignment horizontal="center" vertical="center" wrapText="1"/>
    </xf>
    <xf numFmtId="3" fontId="11" fillId="12" borderId="6" xfId="0" applyNumberFormat="1" applyFont="1" applyFill="1" applyBorder="1" applyAlignment="1">
      <alignment horizontal="center" vertical="center"/>
    </xf>
    <xf numFmtId="0" fontId="10" fillId="8" borderId="0" xfId="0" applyFont="1" applyFill="1" applyAlignment="1">
      <alignment horizontal="left" vertical="center"/>
    </xf>
    <xf numFmtId="0" fontId="10" fillId="11" borderId="0" xfId="0" applyFont="1" applyFill="1" applyAlignment="1">
      <alignment horizontal="left" vertical="center"/>
    </xf>
    <xf numFmtId="0" fontId="7" fillId="9" borderId="4" xfId="3" applyFont="1" applyFill="1" applyBorder="1" applyAlignment="1">
      <alignment horizontal="center" vertical="center" wrapText="1"/>
    </xf>
    <xf numFmtId="0" fontId="6" fillId="14" borderId="7" xfId="0" applyFont="1" applyFill="1" applyBorder="1" applyAlignment="1">
      <alignment vertical="center"/>
    </xf>
    <xf numFmtId="0" fontId="6" fillId="14" borderId="8" xfId="0" applyFont="1" applyFill="1" applyBorder="1" applyAlignment="1">
      <alignment vertical="center"/>
    </xf>
    <xf numFmtId="0" fontId="6" fillId="14" borderId="9" xfId="0" applyFont="1" applyFill="1" applyBorder="1" applyAlignment="1">
      <alignment vertical="center"/>
    </xf>
    <xf numFmtId="0" fontId="7" fillId="13" borderId="4" xfId="3" applyFont="1" applyFill="1" applyBorder="1" applyAlignment="1">
      <alignment horizontal="center" vertical="center" wrapText="1"/>
    </xf>
    <xf numFmtId="1" fontId="6" fillId="14" borderId="7" xfId="0" applyNumberFormat="1" applyFont="1" applyFill="1" applyBorder="1" applyAlignment="1">
      <alignment horizontal="center" vertical="center"/>
    </xf>
    <xf numFmtId="0" fontId="6" fillId="14" borderId="7" xfId="0" applyFont="1" applyFill="1" applyBorder="1" applyAlignment="1">
      <alignment horizontal="center" vertical="center"/>
    </xf>
    <xf numFmtId="165" fontId="6" fillId="14" borderId="7" xfId="0" applyNumberFormat="1" applyFont="1" applyFill="1" applyBorder="1" applyAlignment="1">
      <alignment horizontal="center" vertical="center"/>
    </xf>
    <xf numFmtId="1" fontId="6" fillId="14" borderId="8" xfId="0" applyNumberFormat="1" applyFont="1" applyFill="1" applyBorder="1" applyAlignment="1">
      <alignment horizontal="center" vertical="center"/>
    </xf>
    <xf numFmtId="0" fontId="6" fillId="14" borderId="8" xfId="0" applyFont="1" applyFill="1" applyBorder="1" applyAlignment="1">
      <alignment horizontal="center" vertical="center"/>
    </xf>
    <xf numFmtId="165" fontId="6" fillId="14" borderId="8" xfId="0" applyNumberFormat="1" applyFont="1" applyFill="1" applyBorder="1" applyAlignment="1">
      <alignment horizontal="center" vertical="center"/>
    </xf>
    <xf numFmtId="1" fontId="6" fillId="14" borderId="9" xfId="0" applyNumberFormat="1" applyFont="1" applyFill="1" applyBorder="1" applyAlignment="1">
      <alignment horizontal="center" vertical="center"/>
    </xf>
    <xf numFmtId="0" fontId="6" fillId="14" borderId="9" xfId="0" applyFont="1" applyFill="1" applyBorder="1" applyAlignment="1">
      <alignment horizontal="center" vertical="center"/>
    </xf>
    <xf numFmtId="165" fontId="6" fillId="14" borderId="9" xfId="0" applyNumberFormat="1" applyFont="1" applyFill="1" applyBorder="1" applyAlignment="1">
      <alignment horizontal="center" vertical="center"/>
    </xf>
    <xf numFmtId="3" fontId="6" fillId="14" borderId="7" xfId="0" applyNumberFormat="1" applyFont="1" applyFill="1" applyBorder="1" applyAlignment="1">
      <alignment horizontal="center" vertical="center"/>
    </xf>
    <xf numFmtId="3" fontId="6" fillId="14" borderId="8" xfId="0" applyNumberFormat="1" applyFont="1" applyFill="1" applyBorder="1" applyAlignment="1">
      <alignment horizontal="center" vertical="center"/>
    </xf>
    <xf numFmtId="3" fontId="6" fillId="14" borderId="9" xfId="0" applyNumberFormat="1" applyFont="1" applyFill="1" applyBorder="1" applyAlignment="1">
      <alignment horizontal="center" vertical="center"/>
    </xf>
    <xf numFmtId="164" fontId="6" fillId="14" borderId="7" xfId="0" applyNumberFormat="1" applyFont="1" applyFill="1" applyBorder="1" applyAlignment="1">
      <alignment horizontal="center" vertical="center"/>
    </xf>
    <xf numFmtId="164" fontId="6" fillId="14" borderId="8" xfId="0" applyNumberFormat="1" applyFont="1" applyFill="1" applyBorder="1" applyAlignment="1">
      <alignment horizontal="center" vertical="center"/>
    </xf>
    <xf numFmtId="164" fontId="6" fillId="14" borderId="9" xfId="0" applyNumberFormat="1" applyFont="1" applyFill="1" applyBorder="1" applyAlignment="1">
      <alignment horizontal="center" vertical="center"/>
    </xf>
    <xf numFmtId="0" fontId="6" fillId="14" borderId="7" xfId="0" applyFont="1" applyFill="1" applyBorder="1" applyAlignment="1">
      <alignment vertical="center" wrapText="1"/>
    </xf>
    <xf numFmtId="0" fontId="6" fillId="14" borderId="8" xfId="0" applyFont="1" applyFill="1" applyBorder="1" applyAlignment="1">
      <alignment vertical="center" wrapText="1"/>
    </xf>
    <xf numFmtId="0" fontId="6" fillId="14" borderId="9" xfId="0" applyFont="1" applyFill="1" applyBorder="1" applyAlignment="1">
      <alignment vertical="center" wrapText="1"/>
    </xf>
    <xf numFmtId="0" fontId="7" fillId="15" borderId="0" xfId="0" applyFont="1" applyFill="1" applyAlignment="1">
      <alignment horizontal="center" vertical="center" wrapText="1"/>
    </xf>
    <xf numFmtId="1" fontId="0" fillId="0" borderId="0" xfId="0" applyNumberFormat="1"/>
    <xf numFmtId="1" fontId="0" fillId="0" borderId="0" xfId="0" applyNumberFormat="1" applyAlignment="1">
      <alignment horizontal="center"/>
    </xf>
    <xf numFmtId="0" fontId="12" fillId="0" borderId="8" xfId="0" applyFont="1" applyBorder="1" applyAlignment="1">
      <alignment vertical="center" wrapText="1"/>
    </xf>
    <xf numFmtId="0" fontId="13" fillId="9" borderId="6" xfId="3" applyFont="1" applyFill="1" applyBorder="1" applyAlignment="1">
      <alignment horizontal="center" vertical="center" wrapText="1"/>
    </xf>
    <xf numFmtId="0" fontId="13" fillId="9" borderId="4" xfId="3" applyFont="1" applyFill="1" applyBorder="1" applyAlignment="1">
      <alignment horizontal="center" vertical="center" wrapText="1"/>
    </xf>
    <xf numFmtId="1" fontId="14" fillId="0" borderId="10" xfId="0" applyNumberFormat="1" applyFont="1" applyBorder="1" applyAlignment="1">
      <alignment horizontal="center" vertical="center"/>
    </xf>
    <xf numFmtId="0" fontId="14" fillId="0" borderId="10" xfId="0" applyFont="1" applyBorder="1" applyAlignment="1">
      <alignment vertical="center"/>
    </xf>
    <xf numFmtId="0" fontId="14" fillId="0" borderId="10" xfId="0" applyFont="1" applyBorder="1" applyAlignment="1">
      <alignment horizontal="center" vertical="center"/>
    </xf>
    <xf numFmtId="166" fontId="14" fillId="0" borderId="10" xfId="0" applyNumberFormat="1" applyFont="1" applyBorder="1" applyAlignment="1">
      <alignment horizontal="center" vertical="center"/>
    </xf>
    <xf numFmtId="0" fontId="14" fillId="0" borderId="10" xfId="0" applyFont="1" applyBorder="1" applyAlignment="1">
      <alignment vertical="center" wrapText="1"/>
    </xf>
    <xf numFmtId="3" fontId="14" fillId="0" borderId="10" xfId="0" applyNumberFormat="1" applyFont="1" applyBorder="1" applyAlignment="1">
      <alignment horizontal="center" vertical="center"/>
    </xf>
    <xf numFmtId="4" fontId="14" fillId="0" borderId="10" xfId="0" applyNumberFormat="1" applyFont="1" applyBorder="1" applyAlignment="1">
      <alignment horizontal="center" vertical="center"/>
    </xf>
    <xf numFmtId="0" fontId="15" fillId="16" borderId="0" xfId="5"/>
    <xf numFmtId="0" fontId="15" fillId="17" borderId="0" xfId="5" applyFill="1"/>
    <xf numFmtId="0" fontId="15" fillId="18" borderId="0" xfId="5" applyFill="1"/>
    <xf numFmtId="165" fontId="15" fillId="17" borderId="0" xfId="5" applyNumberFormat="1" applyFill="1"/>
    <xf numFmtId="165" fontId="15" fillId="18" borderId="0" xfId="5" applyNumberFormat="1" applyFill="1"/>
    <xf numFmtId="0" fontId="16" fillId="0" borderId="0" xfId="0" applyFont="1" applyAlignment="1">
      <alignment horizontal="center"/>
    </xf>
    <xf numFmtId="0" fontId="0" fillId="0" borderId="0" xfId="0" applyAlignment="1">
      <alignment horizontal="center"/>
    </xf>
    <xf numFmtId="0" fontId="6" fillId="0" borderId="0" xfId="0" applyFont="1" applyAlignment="1">
      <alignment vertical="center"/>
    </xf>
    <xf numFmtId="0" fontId="8" fillId="8" borderId="0" xfId="0" applyFont="1" applyFill="1" applyAlignment="1">
      <alignment horizontal="left" vertical="center"/>
    </xf>
    <xf numFmtId="0" fontId="10" fillId="8" borderId="2" xfId="0" applyFont="1" applyFill="1" applyBorder="1" applyAlignment="1">
      <alignment horizontal="left" vertical="center"/>
    </xf>
    <xf numFmtId="0" fontId="10" fillId="8" borderId="2" xfId="0" applyFont="1" applyFill="1" applyBorder="1" applyAlignment="1">
      <alignment horizontal="center" vertical="center"/>
    </xf>
    <xf numFmtId="0" fontId="10" fillId="8" borderId="4" xfId="0" applyFont="1" applyFill="1" applyBorder="1" applyAlignment="1">
      <alignment horizontal="center" vertical="center"/>
    </xf>
    <xf numFmtId="0" fontId="10" fillId="11" borderId="2" xfId="0" applyFont="1" applyFill="1" applyBorder="1" applyAlignment="1">
      <alignment horizontal="center" vertical="center"/>
    </xf>
    <xf numFmtId="0" fontId="10" fillId="11" borderId="4" xfId="0" applyFont="1" applyFill="1" applyBorder="1" applyAlignment="1">
      <alignment horizontal="center" vertical="center"/>
    </xf>
    <xf numFmtId="0" fontId="10" fillId="11" borderId="2" xfId="0" applyFont="1" applyFill="1" applyBorder="1" applyAlignment="1">
      <alignment horizontal="left" vertical="center"/>
    </xf>
    <xf numFmtId="0" fontId="10" fillId="11" borderId="4" xfId="0" applyFont="1" applyFill="1" applyBorder="1" applyAlignment="1">
      <alignment horizontal="left" vertical="center"/>
    </xf>
    <xf numFmtId="0" fontId="5" fillId="7" borderId="0" xfId="0" applyFont="1" applyFill="1" applyAlignment="1">
      <alignment horizontal="center"/>
    </xf>
    <xf numFmtId="0" fontId="0" fillId="0" borderId="0" xfId="0" applyAlignment="1">
      <alignment horizontal="left" vertical="top" wrapText="1"/>
    </xf>
    <xf numFmtId="0" fontId="0" fillId="0" borderId="0" xfId="0" applyAlignment="1">
      <alignment horizontal="left" vertical="top"/>
    </xf>
  </cellXfs>
  <cellStyles count="6">
    <cellStyle name="Check Cell" xfId="2" builtinId="23"/>
    <cellStyle name="Heading 1" xfId="3" builtinId="16"/>
    <cellStyle name="Neutral" xfId="1" builtinId="28"/>
    <cellStyle name="Normal" xfId="0" builtinId="0"/>
    <cellStyle name="Style 1" xfId="4" xr:uid="{3AB48A70-A1BA-4435-BEEE-218B332AD598}"/>
    <cellStyle name="Style 2" xfId="5" xr:uid="{45EDA1A4-A83A-462D-A3D8-DEF52ACA0F39}"/>
  </cellStyles>
  <dxfs count="52">
    <dxf>
      <font>
        <color rgb="FF9C0006"/>
      </font>
      <fill>
        <patternFill patternType="solid">
          <fgColor indexed="64"/>
          <bgColor rgb="FFFCE4D6"/>
        </patternFill>
      </fill>
    </dxf>
    <dxf>
      <fill>
        <patternFill patternType="solid">
          <fgColor indexed="64"/>
          <bgColor rgb="FFF2F8F9"/>
        </patternFill>
      </fill>
    </dxf>
    <dxf>
      <fill>
        <patternFill patternType="solid">
          <fgColor indexed="64"/>
          <bgColor rgb="FFF7F9FC"/>
        </patternFill>
      </fill>
    </dxf>
    <dxf>
      <font>
        <sz val="10"/>
        <color rgb="FF263238"/>
        <name val="Aptos"/>
      </font>
      <alignment vertical="center"/>
      <border diagonalUp="0" diagonalDown="0">
        <left/>
        <right/>
        <top style="hair">
          <color auto="1"/>
        </top>
        <bottom style="hair">
          <color auto="1"/>
        </bottom>
        <vertical/>
        <horizontal style="hair">
          <color auto="1"/>
        </horizontal>
      </border>
    </dxf>
    <dxf>
      <font>
        <sz val="10"/>
        <color rgb="FF263238"/>
        <name val="Aptos"/>
      </font>
      <alignment vertical="center"/>
      <border diagonalUp="0" diagonalDown="0">
        <left/>
        <right/>
        <top style="hair">
          <color auto="1"/>
        </top>
        <bottom style="hair">
          <color auto="1"/>
        </bottom>
        <vertical/>
        <horizontal style="hair">
          <color auto="1"/>
        </horizontal>
      </border>
    </dxf>
    <dxf>
      <font>
        <sz val="10"/>
        <color rgb="FF263238"/>
        <name val="Aptos"/>
      </font>
      <numFmt numFmtId="4" formatCode="#,##0.00"/>
      <alignment horizontal="center" vertical="center"/>
      <border diagonalUp="0" diagonalDown="0">
        <left/>
        <right/>
        <top style="hair">
          <color auto="1"/>
        </top>
        <bottom style="hair">
          <color auto="1"/>
        </bottom>
        <vertical/>
        <horizontal style="hair">
          <color auto="1"/>
        </horizontal>
      </border>
    </dxf>
    <dxf>
      <font>
        <sz val="10"/>
        <color rgb="FF263238"/>
        <name val="Aptos"/>
      </font>
      <numFmt numFmtId="4" formatCode="#,##0.00"/>
      <alignment horizontal="center" vertical="center"/>
      <border diagonalUp="0" diagonalDown="0">
        <left/>
        <right/>
        <top style="hair">
          <color auto="1"/>
        </top>
        <bottom style="hair">
          <color auto="1"/>
        </bottom>
        <vertical/>
        <horizontal style="hair">
          <color auto="1"/>
        </horizontal>
      </border>
    </dxf>
    <dxf>
      <font>
        <sz val="10"/>
        <color rgb="FF263238"/>
        <name val="Aptos"/>
      </font>
      <numFmt numFmtId="4" formatCode="#,##0.00"/>
      <alignment horizontal="center" vertical="center"/>
      <border diagonalUp="0" diagonalDown="0">
        <left/>
        <right/>
        <top style="hair">
          <color auto="1"/>
        </top>
        <bottom style="hair">
          <color auto="1"/>
        </bottom>
        <vertical/>
        <horizontal style="hair">
          <color auto="1"/>
        </horizontal>
      </border>
    </dxf>
    <dxf>
      <font>
        <sz val="10"/>
        <color rgb="FF263238"/>
        <name val="Aptos"/>
      </font>
      <alignment vertical="center" wrapText="1"/>
      <border diagonalUp="0" diagonalDown="0">
        <left/>
        <right/>
        <top style="hair">
          <color auto="1"/>
        </top>
        <bottom style="hair">
          <color auto="1"/>
        </bottom>
        <vertical/>
        <horizontal style="hair">
          <color auto="1"/>
        </horizontal>
      </border>
    </dxf>
    <dxf>
      <font>
        <sz val="10"/>
        <color rgb="FF263238"/>
        <name val="Aptos"/>
      </font>
      <alignment horizontal="center" vertical="center"/>
      <border diagonalUp="0" diagonalDown="0">
        <left/>
        <right/>
        <top style="hair">
          <color auto="1"/>
        </top>
        <bottom style="hair">
          <color auto="1"/>
        </bottom>
        <vertical/>
        <horizontal style="hair">
          <color auto="1"/>
        </horizontal>
      </border>
    </dxf>
    <dxf>
      <font>
        <sz val="10"/>
        <color rgb="FF263238"/>
        <name val="Aptos"/>
      </font>
      <alignment vertical="center" wrapText="1"/>
      <border diagonalUp="0" diagonalDown="0">
        <left/>
        <right/>
        <top style="hair">
          <color auto="1"/>
        </top>
        <bottom style="hair">
          <color auto="1"/>
        </bottom>
        <vertical/>
        <horizontal style="hair">
          <color auto="1"/>
        </horizontal>
      </border>
    </dxf>
    <dxf>
      <font>
        <sz val="10"/>
        <color rgb="FF263238"/>
        <name val="Aptos"/>
      </font>
      <alignment vertical="center" wrapText="1"/>
      <border diagonalUp="0" diagonalDown="0">
        <left/>
        <right/>
        <top style="hair">
          <color auto="1"/>
        </top>
        <bottom style="hair">
          <color auto="1"/>
        </bottom>
        <vertical/>
        <horizontal style="hair">
          <color auto="1"/>
        </horizontal>
      </border>
    </dxf>
    <dxf>
      <font>
        <sz val="10"/>
        <color rgb="FF263238"/>
        <name val="Aptos"/>
      </font>
      <alignment vertical="center"/>
      <border diagonalUp="0" diagonalDown="0">
        <left/>
        <right/>
        <top style="hair">
          <color auto="1"/>
        </top>
        <bottom style="hair">
          <color auto="1"/>
        </bottom>
        <vertical/>
        <horizontal style="hair">
          <color auto="1"/>
        </horizontal>
      </border>
    </dxf>
    <dxf>
      <font>
        <sz val="10"/>
        <color rgb="FF263238"/>
        <name val="Aptos"/>
      </font>
      <alignment horizontal="center" vertical="center"/>
      <border diagonalUp="0" diagonalDown="0">
        <left/>
        <right/>
        <top style="hair">
          <color auto="1"/>
        </top>
        <bottom style="hair">
          <color auto="1"/>
        </bottom>
        <vertical/>
        <horizontal style="hair">
          <color auto="1"/>
        </horizontal>
      </border>
    </dxf>
    <dxf>
      <font>
        <sz val="10"/>
        <color rgb="FF263238"/>
        <name val="Aptos"/>
      </font>
      <alignment horizontal="center" vertical="center"/>
      <border diagonalUp="0" diagonalDown="0">
        <left/>
        <right/>
        <top style="hair">
          <color auto="1"/>
        </top>
        <bottom style="hair">
          <color auto="1"/>
        </bottom>
        <vertical/>
        <horizontal style="hair">
          <color auto="1"/>
        </horizontal>
      </border>
    </dxf>
    <dxf>
      <font>
        <sz val="10"/>
        <color rgb="FF263238"/>
        <name val="Aptos"/>
      </font>
      <alignment horizontal="center" vertical="center"/>
      <border diagonalUp="0" diagonalDown="0">
        <left/>
        <right/>
        <top style="hair">
          <color auto="1"/>
        </top>
        <bottom style="hair">
          <color auto="1"/>
        </bottom>
        <vertical/>
        <horizontal style="hair">
          <color auto="1"/>
        </horizontal>
      </border>
    </dxf>
    <dxf>
      <font>
        <sz val="10"/>
        <color rgb="FF263238"/>
        <name val="Aptos"/>
      </font>
      <numFmt numFmtId="4" formatCode="#,##0.00"/>
      <alignment horizontal="center" vertical="center"/>
      <border diagonalUp="0" diagonalDown="0">
        <left/>
        <right/>
        <top style="hair">
          <color auto="1"/>
        </top>
        <bottom style="hair">
          <color auto="1"/>
        </bottom>
        <vertical/>
        <horizontal style="hair">
          <color auto="1"/>
        </horizontal>
      </border>
    </dxf>
    <dxf>
      <font>
        <sz val="10"/>
        <color rgb="FF263238"/>
        <name val="Aptos"/>
      </font>
      <alignment horizontal="center" vertical="center"/>
      <border diagonalUp="0" diagonalDown="0">
        <left/>
        <right/>
        <top style="hair">
          <color auto="1"/>
        </top>
        <bottom style="hair">
          <color auto="1"/>
        </bottom>
        <vertical/>
        <horizontal style="hair">
          <color auto="1"/>
        </horizontal>
      </border>
    </dxf>
    <dxf>
      <font>
        <sz val="10"/>
        <color rgb="FF263238"/>
        <name val="Aptos"/>
      </font>
      <numFmt numFmtId="1" formatCode="0"/>
      <alignment horizontal="center" vertical="center"/>
      <border diagonalUp="0" diagonalDown="0">
        <left/>
        <right/>
        <top style="hair">
          <color auto="1"/>
        </top>
        <bottom style="hair">
          <color auto="1"/>
        </bottom>
        <vertical/>
        <horizontal style="hair">
          <color auto="1"/>
        </horizontal>
      </border>
    </dxf>
    <dxf>
      <font>
        <sz val="10"/>
        <color rgb="FF263238"/>
        <name val="Aptos"/>
      </font>
      <numFmt numFmtId="3" formatCode="#,##0"/>
      <alignment horizontal="center" vertical="center"/>
      <border diagonalUp="0" diagonalDown="0">
        <left/>
        <right/>
        <top style="hair">
          <color auto="1"/>
        </top>
        <bottom style="hair">
          <color auto="1"/>
        </bottom>
        <vertical/>
        <horizontal style="hair">
          <color auto="1"/>
        </horizontal>
      </border>
    </dxf>
    <dxf>
      <font>
        <sz val="10"/>
        <color rgb="FF263238"/>
        <name val="Aptos"/>
      </font>
      <alignment horizontal="center" vertical="center"/>
      <border diagonalUp="0" diagonalDown="0">
        <left/>
        <right/>
        <top style="hair">
          <color auto="1"/>
        </top>
        <bottom style="hair">
          <color auto="1"/>
        </bottom>
        <vertical/>
        <horizontal style="hair">
          <color auto="1"/>
        </horizontal>
      </border>
    </dxf>
    <dxf>
      <font>
        <sz val="10"/>
        <color rgb="FF263238"/>
        <name val="Aptos"/>
      </font>
      <alignment horizontal="center" vertical="center"/>
      <border diagonalUp="0" diagonalDown="0">
        <left/>
        <right/>
        <top style="hair">
          <color auto="1"/>
        </top>
        <bottom style="hair">
          <color auto="1"/>
        </bottom>
        <vertical/>
        <horizontal style="hair">
          <color auto="1"/>
        </horizontal>
      </border>
    </dxf>
    <dxf>
      <font>
        <sz val="10"/>
        <color rgb="FF263238"/>
        <name val="Aptos"/>
      </font>
      <alignment horizontal="center" vertical="center"/>
      <border diagonalUp="0" diagonalDown="0">
        <left/>
        <right/>
        <top style="hair">
          <color auto="1"/>
        </top>
        <bottom style="hair">
          <color auto="1"/>
        </bottom>
        <vertical/>
        <horizontal style="hair">
          <color auto="1"/>
        </horizontal>
      </border>
    </dxf>
    <dxf>
      <font>
        <sz val="10"/>
        <color rgb="FF263238"/>
        <name val="Aptos"/>
      </font>
      <alignment horizontal="center" vertical="center"/>
      <border diagonalUp="0" diagonalDown="0">
        <left/>
        <right/>
        <top style="hair">
          <color auto="1"/>
        </top>
        <bottom style="hair">
          <color auto="1"/>
        </bottom>
        <vertical/>
        <horizontal style="hair">
          <color auto="1"/>
        </horizontal>
      </border>
    </dxf>
    <dxf>
      <font>
        <sz val="10"/>
        <color rgb="FF263238"/>
        <name val="Aptos"/>
      </font>
      <alignment vertical="center" wrapText="1"/>
      <border diagonalUp="0" diagonalDown="0">
        <left/>
        <right/>
        <top style="hair">
          <color auto="1"/>
        </top>
        <bottom style="hair">
          <color auto="1"/>
        </bottom>
        <vertical/>
        <horizontal style="hair">
          <color auto="1"/>
        </horizontal>
      </border>
    </dxf>
    <dxf>
      <font>
        <sz val="10"/>
        <color rgb="FF263238"/>
        <name val="Aptos"/>
      </font>
      <numFmt numFmtId="166" formatCode="yyyy\-mm\-dd;;;"/>
      <alignment horizontal="center" vertical="center"/>
      <border diagonalUp="0" diagonalDown="0">
        <left/>
        <right/>
        <top style="hair">
          <color auto="1"/>
        </top>
        <bottom style="hair">
          <color auto="1"/>
        </bottom>
        <vertical/>
        <horizontal style="hair">
          <color auto="1"/>
        </horizontal>
      </border>
    </dxf>
    <dxf>
      <font>
        <sz val="10"/>
        <color rgb="FF263238"/>
        <name val="Aptos"/>
      </font>
      <numFmt numFmtId="166" formatCode="yyyy\-mm\-dd;;;"/>
      <alignment horizontal="center" vertical="center"/>
      <border diagonalUp="0" diagonalDown="0">
        <left/>
        <right/>
        <top style="hair">
          <color auto="1"/>
        </top>
        <bottom style="hair">
          <color auto="1"/>
        </bottom>
        <vertical/>
        <horizontal style="hair">
          <color auto="1"/>
        </horizontal>
      </border>
    </dxf>
    <dxf>
      <font>
        <sz val="10"/>
        <color rgb="FF263238"/>
        <name val="Aptos"/>
      </font>
      <numFmt numFmtId="166" formatCode="yyyy\-mm\-dd;;;"/>
      <alignment horizontal="center" vertical="center"/>
      <border diagonalUp="0" diagonalDown="0">
        <left/>
        <right/>
        <top style="hair">
          <color auto="1"/>
        </top>
        <bottom style="hair">
          <color auto="1"/>
        </bottom>
        <vertical/>
        <horizontal style="hair">
          <color auto="1"/>
        </horizontal>
      </border>
    </dxf>
    <dxf>
      <font>
        <sz val="10"/>
        <color rgb="FF263238"/>
        <name val="Aptos"/>
      </font>
      <numFmt numFmtId="166" formatCode="yyyy\-mm\-dd;;;"/>
      <alignment horizontal="center" vertical="center"/>
      <border diagonalUp="0" diagonalDown="0">
        <left/>
        <right/>
        <top style="hair">
          <color auto="1"/>
        </top>
        <bottom style="hair">
          <color auto="1"/>
        </bottom>
        <vertical/>
        <horizontal style="hair">
          <color auto="1"/>
        </horizontal>
      </border>
    </dxf>
    <dxf>
      <font>
        <sz val="10"/>
        <color rgb="FF263238"/>
        <name val="Aptos"/>
      </font>
      <alignment horizontal="center" vertical="center"/>
      <border diagonalUp="0" diagonalDown="0">
        <left/>
        <right/>
        <top style="hair">
          <color auto="1"/>
        </top>
        <bottom style="hair">
          <color auto="1"/>
        </bottom>
        <vertical/>
        <horizontal style="hair">
          <color auto="1"/>
        </horizontal>
      </border>
    </dxf>
    <dxf>
      <font>
        <sz val="10"/>
        <color rgb="FF263238"/>
        <name val="Aptos"/>
      </font>
      <alignment vertical="center"/>
      <border diagonalUp="0" diagonalDown="0">
        <left/>
        <right/>
        <top style="hair">
          <color auto="1"/>
        </top>
        <bottom style="hair">
          <color auto="1"/>
        </bottom>
        <vertical/>
        <horizontal style="hair">
          <color auto="1"/>
        </horizontal>
      </border>
    </dxf>
    <dxf>
      <font>
        <sz val="10"/>
        <color rgb="FF263238"/>
        <name val="Aptos"/>
      </font>
      <numFmt numFmtId="1" formatCode="0"/>
      <alignment horizontal="center" vertical="center"/>
      <border diagonalUp="0" diagonalDown="0">
        <left/>
        <right/>
        <top style="hair">
          <color auto="1"/>
        </top>
        <bottom style="hair">
          <color auto="1"/>
        </bottom>
        <vertical/>
        <horizontal style="hair">
          <color auto="1"/>
        </horizontal>
      </border>
    </dxf>
    <dxf>
      <font>
        <sz val="10"/>
        <color rgb="FF263238"/>
        <name val="Aptos"/>
      </font>
      <alignment vertical="center"/>
    </dxf>
    <dxf>
      <font>
        <b/>
        <sz val="10"/>
        <color rgb="FFFFFFFF"/>
        <name val="Aptos"/>
      </font>
      <fill>
        <patternFill patternType="solid">
          <fgColor indexed="64"/>
          <bgColor rgb="FF334E68"/>
        </patternFill>
      </fill>
      <alignment horizontal="center" vertical="center" wrapText="1"/>
    </dxf>
    <dxf>
      <font>
        <strike/>
      </font>
      <fill>
        <patternFill>
          <bgColor theme="2" tint="-0.24994659260841701"/>
        </patternFill>
      </fill>
    </dxf>
    <dxf>
      <fill>
        <patternFill>
          <bgColor theme="7" tint="0.59996337778862885"/>
        </patternFill>
      </fill>
    </dxf>
    <dxf>
      <fill>
        <patternFill>
          <bgColor theme="9" tint="0.79998168889431442"/>
        </patternFill>
      </fill>
    </dxf>
    <dxf>
      <numFmt numFmtId="0" formatCode="General"/>
    </dxf>
    <dxf>
      <numFmt numFmtId="0" formatCode="General"/>
    </dxf>
    <dxf>
      <numFmt numFmtId="164" formatCode="yyyy\-mm\-dd\ hh:mm"/>
    </dxf>
    <dxf>
      <fill>
        <patternFill>
          <bgColor theme="5" tint="0.79998168889431442"/>
        </patternFill>
      </fill>
      <border>
        <vertical/>
        <horizontal/>
      </border>
    </dxf>
    <dxf>
      <fill>
        <patternFill>
          <bgColor theme="8" tint="0.79998168889431442"/>
        </patternFill>
      </fill>
    </dxf>
    <dxf>
      <font>
        <strike/>
        <color rgb="FFC00000"/>
      </font>
      <fill>
        <patternFill>
          <bgColor theme="0" tint="-0.14996795556505021"/>
        </patternFill>
      </fill>
    </dxf>
    <dxf>
      <fill>
        <patternFill>
          <bgColor theme="5" tint="0.79998168889431442"/>
        </patternFill>
      </fill>
      <border>
        <vertical/>
        <horizontal/>
      </border>
    </dxf>
    <dxf>
      <fill>
        <patternFill>
          <bgColor theme="8" tint="0.79998168889431442"/>
        </patternFill>
      </fill>
    </dxf>
    <dxf>
      <font>
        <strike/>
        <color rgb="FFC00000"/>
      </font>
      <fill>
        <patternFill>
          <bgColor theme="0" tint="-0.14996795556505021"/>
        </patternFill>
      </fill>
    </dxf>
    <dxf>
      <fill>
        <patternFill>
          <bgColor theme="5" tint="0.79998168889431442"/>
        </patternFill>
      </fill>
      <border>
        <vertical/>
        <horizontal/>
      </border>
    </dxf>
    <dxf>
      <fill>
        <patternFill>
          <bgColor theme="8" tint="0.79998168889431442"/>
        </patternFill>
      </fill>
    </dxf>
    <dxf>
      <font>
        <strike/>
        <color rgb="FFC00000"/>
      </font>
      <fill>
        <patternFill>
          <bgColor theme="0" tint="-0.14996795556505021"/>
        </patternFill>
      </fill>
    </dxf>
    <dxf>
      <fill>
        <patternFill>
          <bgColor theme="5" tint="0.79998168889431442"/>
        </patternFill>
      </fill>
      <border>
        <vertical/>
        <horizontal/>
      </border>
    </dxf>
    <dxf>
      <fill>
        <patternFill>
          <bgColor theme="8" tint="0.79998168889431442"/>
        </patternFill>
      </fill>
    </dxf>
    <dxf>
      <font>
        <strike/>
        <color rgb="FFC00000"/>
      </font>
      <fill>
        <patternFill>
          <bgColor theme="0" tint="-0.14996795556505021"/>
        </patternFill>
      </fill>
    </dxf>
  </dxfs>
  <tableStyles count="0" defaultTableStyle="TableStyleMedium2" defaultPivotStyle="PivotStyleLight16"/>
  <colors>
    <mruColors>
      <color rgb="FFFFCC66"/>
      <color rgb="FFD7E4BC"/>
      <color rgb="FFF7C7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17/06/relationships/rdRichValueTypes" Target="richData/rdRichValueTyp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17/06/relationships/rdRichValueStructure" Target="richData/rdrichvaluestructure.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06/relationships/rdRichValue" Target="richData/rdrichvalue.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25400</xdr:colOff>
          <xdr:row>0</xdr:row>
          <xdr:rowOff>25400</xdr:rowOff>
        </xdr:from>
        <xdr:to>
          <xdr:col>2</xdr:col>
          <xdr:colOff>596900</xdr:colOff>
          <xdr:row>3</xdr:row>
          <xdr:rowOff>177800</xdr:rowOff>
        </xdr:to>
        <xdr:sp macro="" textlink="">
          <xdr:nvSpPr>
            <xdr:cNvPr id="4097" name="Jauna tabula"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ptos Narrow" charset="0"/>
                </a:rPr>
                <a:t>JAUNA TABULA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63500</xdr:colOff>
          <xdr:row>1</xdr:row>
          <xdr:rowOff>25400</xdr:rowOff>
        </xdr:from>
        <xdr:to>
          <xdr:col>3</xdr:col>
          <xdr:colOff>596900</xdr:colOff>
          <xdr:row>3</xdr:row>
          <xdr:rowOff>190500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400-000005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ptos Narrow" charset="0"/>
                </a:rPr>
                <a:t>Clear Filters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635000</xdr:colOff>
          <xdr:row>1</xdr:row>
          <xdr:rowOff>25400</xdr:rowOff>
        </xdr:from>
        <xdr:to>
          <xdr:col>5</xdr:col>
          <xdr:colOff>254000</xdr:colOff>
          <xdr:row>3</xdr:row>
          <xdr:rowOff>177800</xdr:rowOff>
        </xdr:to>
        <xdr:sp macro="" textlink="">
          <xdr:nvSpPr>
            <xdr:cNvPr id="6168" name="Button 24" hidden="1">
              <a:extLst>
                <a:ext uri="{63B3BB69-23CF-44E3-9099-C40C66FF867C}">
                  <a14:compatExt spid="_x0000_s6168"/>
                </a:ext>
                <a:ext uri="{FF2B5EF4-FFF2-40B4-BE49-F238E27FC236}">
                  <a16:creationId xmlns:a16="http://schemas.microsoft.com/office/drawing/2014/main" id="{00000000-0008-0000-0400-000018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ptos Narrow" charset="0"/>
                </a:rPr>
                <a:t>Refresh Report</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1</v>
    <v>1</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46B01B6-BA2D-4EC3-BD08-C37843129231}" name="Table1" displayName="Table1" ref="A1:AS52" totalsRowCount="1" headerRowCellStyle="Style 2" dataCellStyle="Style 2" totalsRowCellStyle="Style 2">
  <autoFilter ref="A1:AS51" xr:uid="{F46B01B6-BA2D-4EC3-BD08-C37843129231}"/>
  <tableColumns count="45">
    <tableColumn id="1" xr3:uid="{F680AD92-025A-4057-AE8C-075847505525}" name="Week" totalsRowLabel="Total" dataCellStyle="Style 2" totalsRowCellStyle="Style 2"/>
    <tableColumn id="2" xr3:uid="{EF77E95E-5E32-40CE-BBC7-587BAE896EC4}" name="Vessel" dataCellStyle="Style 2" totalsRowCellStyle="Style 2"/>
    <tableColumn id="3" xr3:uid="{220B0E83-ED0D-4CC3-ABB3-FD42CA42D11F}" name="Voyage" dataCellStyle="Style 2" totalsRowCellStyle="Style 2"/>
    <tableColumn id="4" xr3:uid="{42251889-B032-4189-B525-D96B55EE4BAE}" name="ETA" dataCellStyle="Style 2" totalsRowCellStyle="Style 2"/>
    <tableColumn id="5" xr3:uid="{DE0439F1-BEBC-4A7F-A117-6A70F4640B2C}" name="ETD" dataCellStyle="Style 2" totalsRowCellStyle="Style 2"/>
    <tableColumn id="6" xr3:uid="{B844A791-A739-40DF-8FF3-F6D45CC03258}" name="Cut-Off" dataCellStyle="Style 2" totalsRowCellStyle="Style 2"/>
    <tableColumn id="7" xr3:uid="{1BAB1585-68A5-4511-B3D8-DC385874B275}" name="ETA T/S" dataCellStyle="Style 2" totalsRowCellStyle="Style 2"/>
    <tableColumn id="27" xr3:uid="{CD0EDA09-FAAD-488F-8887-6245A435E384}" name="Comments 1" dataCellStyle="Style 2" totalsRowCellStyle="Style 2"/>
    <tableColumn id="8" xr3:uid="{8F69BE7F-C77C-4D2C-8737-21D224D24D96}" name="Booking number" dataCellStyle="Style 2" totalsRowCellStyle="Style 2"/>
    <tableColumn id="10" xr3:uid="{934DF836-DE55-4A6A-A84D-AAED72D68B78}" name="O/V" dataCellStyle="Style 2" totalsRowCellStyle="Style 2"/>
    <tableColumn id="11" xr3:uid="{99CE7C0F-80C7-479C-A09D-C1CA6D6E4C64}" name="SVC" dataCellStyle="Style 2" totalsRowCellStyle="Style 2"/>
    <tableColumn id="12" xr3:uid="{7B456581-3EB8-4101-AED1-179426D703CD}" name="Booking status" dataCellStyle="Style 2" totalsRowCellStyle="Style 2"/>
    <tableColumn id="13" xr3:uid="{A0F2CFEC-B250-4F92-B1B4-580205BC65C0}" name="CNTR AMT" dataCellStyle="Style 2" totalsRowCellStyle="Style 2"/>
    <tableColumn id="14" xr3:uid="{17DC627E-5574-425F-AE2D-DC748C570074}" name="SIZE" dataCellStyle="Style 2" totalsRowCellStyle="Style 2"/>
    <tableColumn id="15" xr3:uid="{44F6F692-D6E9-4A82-AFF8-07C788E8CEE3}" name="TYPE" dataCellStyle="Style 2" totalsRowCellStyle="Style 2"/>
    <tableColumn id="16" xr3:uid="{E0033B8C-925C-4A13-9636-959BEC98FAA9}" name="GWT" dataCellStyle="Style 2" totalsRowCellStyle="Style 2"/>
    <tableColumn id="17" xr3:uid="{28E6D47C-E59B-4678-AE3C-FA798B3924E4}" name="POL" dataCellStyle="Style 2" totalsRowCellStyle="Style 2"/>
    <tableColumn id="18" xr3:uid="{A12899EB-6449-45EE-92C6-188139E0AE9E}" name="EU TS" dataCellStyle="Style 2" totalsRowCellStyle="Style 2"/>
    <tableColumn id="19" xr3:uid="{B7E666B0-EA95-4F34-A3A3-C121400C850D}" name="POD CODE" dataCellStyle="Style 2" totalsRowCellStyle="Style 2"/>
    <tableColumn id="20" xr3:uid="{CB686F4A-D66F-4C3F-85F3-C2530C8B85BE}" name="POD" dataCellStyle="Style 2" totalsRowCellStyle="Style 2"/>
    <tableColumn id="21" xr3:uid="{A14B654E-9C2B-492B-88AF-2ADF7E586F7F}" name="CUSTOMER" dataCellStyle="Style 2" totalsRowCellStyle="Style 2"/>
    <tableColumn id="22" xr3:uid="{F07D6931-2003-4B11-87C2-808AF003AD0A}" name="Comments 2" dataCellStyle="Style 2" totalsRowCellStyle="Style 2"/>
    <tableColumn id="28" xr3:uid="{19B4DF07-A2F6-4E58-A72A-E89A1278CE0F}" name="RowStatus" dataCellStyle="Style 2" totalsRowCellStyle="Style 2"/>
    <tableColumn id="29" xr3:uid="{ADB7B49E-CD35-4176-BEFE-CE68AE72D648}" name="CancelReason" dataCellStyle="Style 2" totalsRowCellStyle="Style 2"/>
    <tableColumn id="23" xr3:uid="{0C8DF0BB-62AA-406C-896B-EA6DFD47CF3A}" name="Summary" totalsRowFunction="custom" dataCellStyle="Style 2" totalsRowCellStyle="Style 2">
      <calculatedColumnFormula>IF(UPPER(TRIM(W2&amp;""))="CANCELLED",0,IFERROR(0+M2,0))</calculatedColumnFormula>
      <totalsRowFormula>SUM(Y2:Y51)</totalsRowFormula>
    </tableColumn>
    <tableColumn id="24" xr3:uid="{056470FB-B420-41C1-BC15-D6B685E8DF0B}" name="TEU" totalsRowFunction="custom" dataCellStyle="Style 2" totalsRowCellStyle="Style 2">
      <calculatedColumnFormula>IF(UPPER(TRIM(W2&amp;""))="CANCELLED",0,IFERROR((0+M2)*IF(IFERROR(0+TRIM(N2&amp;""),0)=4,2,IF(IFERROR(0+TRIM(N2&amp;""),0)=2,1,0)),0))</calculatedColumnFormula>
      <totalsRowFormula>SUM(Z2:Z51)</totalsRowFormula>
    </tableColumn>
    <tableColumn id="25" xr3:uid="{AE457F6D-2AE1-4E11-B222-DF6DDA31C609}" name="TS" totalsRowFunction="custom" dataCellStyle="Style 2" totalsRowCellStyle="Style 2">
      <calculatedColumnFormula>IF(UPPER(TRIM(W2&amp;""))="CANCELLED",0,IFERROR(0+P2,0))</calculatedColumnFormula>
      <totalsRowFormula>SUM(AA2:AA51)</totalsRowFormula>
    </tableColumn>
    <tableColumn id="9" xr3:uid="{B56D00EA-F838-4246-8A7F-0E3599CC6CC0}" name="BlockID" dataCellStyle="Style 2" totalsRowCellStyle="Style 2"/>
    <tableColumn id="26" xr3:uid="{461E9C6D-EE20-41A6-9DCF-66A856B2FF5C}" name="RowID" dataCellStyle="Style 2" totalsRowCellStyle="Style 2"/>
    <tableColumn id="30" xr3:uid="{F65126F0-293F-46C6-9886-F1FF41373642}" name="LoadStatus" dataCellStyle="Style 2" totalsRowCellStyle="Style 2"/>
    <tableColumn id="31" xr3:uid="{2D72B891-D642-4DD7-8C89-F5999F916AF2}" name="Loaded Containers" totalsRowFunction="custom" dataCellStyle="Style 2" totalsRowCellStyle="Style 2">
      <calculatedColumnFormula>IF(UPPER(TRIM($W2&amp;""))="CANCELLED",0,IF(UPPER(TRIM($AD2&amp;""))="EMPTY",0,IFERROR(0+$M2,0)))</calculatedColumnFormula>
      <totalsRowFormula>SUM(AE2:AE51)</totalsRowFormula>
    </tableColumn>
    <tableColumn id="32" xr3:uid="{413931C9-BAF6-4D17-B097-D1399038F7E3}" name="Empty Containers" totalsRowFunction="custom" dataCellStyle="Style 2" totalsRowCellStyle="Style 2">
      <calculatedColumnFormula>IF(UPPER(TRIM($W2&amp;""))="CANCELLED",0,IF(UPPER(TRIM($AD2&amp;""))="EMPTY",IFERROR(0+$M2,0),0))</calculatedColumnFormula>
      <totalsRowFormula>SUM(AF2:AF51)</totalsRowFormula>
    </tableColumn>
    <tableColumn id="33" xr3:uid="{F8DBBFC1-6585-47AE-9496-D86AE82F3E09}" name="Total Containers" totalsRowFunction="custom" dataCellStyle="Style 2" totalsRowCellStyle="Style 2">
      <calculatedColumnFormula>AE2+AF2</calculatedColumnFormula>
      <totalsRowFormula>SUM(AG2:AG51)</totalsRowFormula>
    </tableColumn>
    <tableColumn id="34" xr3:uid="{0B40C072-1A27-49DF-8CFD-7E6C364CFFA8}" name="Loaded 20ft" totalsRowFunction="custom" dataCellStyle="Style 2" totalsRowCellStyle="Style 2">
      <calculatedColumnFormula>IF(UPPER(TRIM($W2&amp;""))="CANCELLED",0,IF(AND(NOT(UPPER(TRIM($AD2&amp;""))="EMPTY"),IFERROR(0+TRIM($N2&amp;""),0)=2),IFERROR(0+$M2,0),0))</calculatedColumnFormula>
      <totalsRowFormula>SUM(AH2:AH51)</totalsRowFormula>
    </tableColumn>
    <tableColumn id="35" xr3:uid="{3F6AC05F-7980-4763-A45A-FF4D0E4ED0F8}" name="Empty 20ft" totalsRowFunction="custom" dataCellStyle="Style 2" totalsRowCellStyle="Style 2">
      <calculatedColumnFormula>IF(UPPER(TRIM($W2&amp;""))="CANCELLED",0,IF(AND(UPPER(TRIM($AD2&amp;""))="EMPTY",IFERROR(0+TRIM($N2&amp;""),0)=2),IFERROR(0+$M2,0),0))</calculatedColumnFormula>
      <totalsRowFormula>SUM(AI2:AI51)</totalsRowFormula>
    </tableColumn>
    <tableColumn id="36" xr3:uid="{E0CF9CF8-AA71-40E2-87E7-DCCDD644494F}" name="Total 20ft" totalsRowFunction="custom" dataCellStyle="Style 2" totalsRowCellStyle="Style 2">
      <calculatedColumnFormula>AH2+AI2</calculatedColumnFormula>
      <totalsRowFormula>SUM(AJ2:AJ51)</totalsRowFormula>
    </tableColumn>
    <tableColumn id="37" xr3:uid="{6A5FB7F1-AA3D-4B27-83CF-08E81FD8C053}" name="Loaded 40ft" totalsRowFunction="custom" dataCellStyle="Style 2" totalsRowCellStyle="Style 2">
      <calculatedColumnFormula>IF(UPPER(TRIM($W2&amp;""))="CANCELLED",0,IF(AND(NOT(UPPER(TRIM($AD2&amp;""))="EMPTY"),IFERROR(0+TRIM($N2&amp;""),0)=4),IFERROR(0+$M2,0),0))</calculatedColumnFormula>
      <totalsRowFormula>SUM(AK2:AK51)</totalsRowFormula>
    </tableColumn>
    <tableColumn id="38" xr3:uid="{D363F76E-8AEE-4E43-AFEE-8B2022638B1A}" name="Empty 40ft" totalsRowFunction="custom" dataCellStyle="Style 2" totalsRowCellStyle="Style 2">
      <calculatedColumnFormula>IF(UPPER(TRIM($W2&amp;""))="CANCELLED",0,IF(AND(UPPER(TRIM($AD2&amp;""))="EMPTY",IFERROR(0+TRIM($N2&amp;""),0)=4),IFERROR(0+$M2,0),0))</calculatedColumnFormula>
      <totalsRowFormula>SUM(AL2:AL51)</totalsRowFormula>
    </tableColumn>
    <tableColumn id="39" xr3:uid="{F32C513D-BCDC-4137-82D5-CC2E879AE45F}" name="Total 40ft" totalsRowFunction="custom" dataCellStyle="Style 2" totalsRowCellStyle="Style 2">
      <calculatedColumnFormula>AK2+AL2</calculatedColumnFormula>
      <totalsRowFormula>SUM(AM2:AM51)</totalsRowFormula>
    </tableColumn>
    <tableColumn id="40" xr3:uid="{44A5AA95-F6A1-4690-9F4C-B4A5E93D79F6}" name="Loaded TEU" totalsRowFunction="custom" dataCellStyle="Style 2" totalsRowCellStyle="Style 2">
      <calculatedColumnFormula>IF(UPPER(TRIM($W2&amp;""))="CANCELLED",0,IF(UPPER(TRIM($AD2&amp;""))="EMPTY",0,IFERROR((IFERROR(0+$M2,0))*IF(IFERROR(0+TRIM($N2&amp;""),0)=4,2,IF(IFERROR(0+TRIM($N2&amp;""),0)=2,1,0)),0)))</calculatedColumnFormula>
      <totalsRowFormula>SUM(AN2:AN51)</totalsRowFormula>
    </tableColumn>
    <tableColumn id="41" xr3:uid="{908E085A-EB40-45E4-BBE8-E41DD0BDA807}" name="Empty TEU" totalsRowFunction="custom" dataCellStyle="Style 2" totalsRowCellStyle="Style 2">
      <calculatedColumnFormula>IF(UPPER(TRIM($W2&amp;""))="CANCELLED",0,IF(UPPER(TRIM($AD2&amp;""))="EMPTY",IFERROR((IFERROR(0+$M2,0))*IF(IFERROR(0+TRIM($N2&amp;""),0)=4,2,IF(IFERROR(0+TRIM($N2&amp;""),0)=2,1,0)),0),0))</calculatedColumnFormula>
      <totalsRowFormula>SUM(AO2:AO51)</totalsRowFormula>
    </tableColumn>
    <tableColumn id="42" xr3:uid="{F8DF351C-1E54-4FE5-9D05-0EF385BFA8DB}" name="Total TEU" totalsRowFunction="custom" dataCellStyle="Style 2" totalsRowCellStyle="Style 2">
      <calculatedColumnFormula>AN2+AO2</calculatedColumnFormula>
      <totalsRowFormula>SUM(AP2:AP51)</totalsRowFormula>
    </tableColumn>
    <tableColumn id="43" xr3:uid="{E1AFDC3F-0485-42B2-B22B-14E3C5B78119}" name="Loaded GWT" totalsRowFunction="custom" dataCellStyle="Style 2" totalsRowCellStyle="Style 2">
      <calculatedColumnFormula>IF(UPPER(TRIM($W2&amp;""))="CANCELLED",0,IF(UPPER(TRIM($AD2&amp;""))="EMPTY",0,IFERROR(0+$P2,0)))</calculatedColumnFormula>
      <totalsRowFormula>SUM(AQ2:AQ51)</totalsRowFormula>
    </tableColumn>
    <tableColumn id="44" xr3:uid="{60783A23-50CD-4EDD-B582-963D3EB60579}" name="Empty GWT" totalsRowFunction="custom" dataCellStyle="Style 2" totalsRowCellStyle="Style 2">
      <calculatedColumnFormula>IF(UPPER(TRIM($W2&amp;""))="CANCELLED",0,IF(UPPER(TRIM($AD2&amp;""))="EMPTY",IFERROR(0+$P2,0),0))</calculatedColumnFormula>
      <totalsRowFormula>SUM(AR2:AR51)</totalsRowFormula>
    </tableColumn>
    <tableColumn id="45" xr3:uid="{160A3F77-456B-421E-B408-6862343E823C}" name="Total GWT" totalsRowFunction="custom" dataCellStyle="Style 2" totalsRowCellStyle="Style 2">
      <calculatedColumnFormula>AQ2+AR2</calculatedColumnFormula>
      <totalsRowFormula>SUM(AS2:AS51)</totalsRowFormula>
    </tableColumn>
  </tableColumns>
  <tableStyleInfo name="TableStyleMedium2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FDBC563-3F02-4EFA-A892-82D7A9D45DEC}" name="tblHistory" displayName="tblHistory" ref="A1:P36" totalsRowShown="0">
  <autoFilter ref="A1:P36" xr:uid="{0FDBC563-3F02-4EFA-A892-82D7A9D45DEC}"/>
  <tableColumns count="16">
    <tableColumn id="1" xr3:uid="{6642B684-D100-48F8-8491-0D0A795E91A4}" name="Timestamp" dataDxfId="39"/>
    <tableColumn id="2" xr3:uid="{EAE3E03E-7C08-4866-8423-CB59481B8ECC}" name="User"/>
    <tableColumn id="3" xr3:uid="{C86B8C42-6361-49D8-BEBA-7A2F9C93A44C}" name="BlockID"/>
    <tableColumn id="4" xr3:uid="{189C0608-6D27-49C9-B436-83F922C891EE}" name="RowID"/>
    <tableColumn id="5" xr3:uid="{70D5C9C1-36BB-468A-82A1-F2AB8C87108A}" name="Week"/>
    <tableColumn id="6" xr3:uid="{2C0B7C62-4640-4A4D-A770-A29F4EEA59C6}" name="Vessel"/>
    <tableColumn id="7" xr3:uid="{26052F39-1F90-4285-B282-2949E195F202}" name="Voyage"/>
    <tableColumn id="8" xr3:uid="{E2046B98-D813-48FC-B1B6-84AD44044095}" name="Booking number"/>
    <tableColumn id="14" xr3:uid="{6464A78D-3AF5-4F75-B1BD-CE4C66D0ECDD}" name="Comments 1"/>
    <tableColumn id="15" xr3:uid="{1B285FAA-8537-4FA3-8197-68B3482F4E35}" name="Comments 2"/>
    <tableColumn id="16" xr3:uid="{76330A17-5C39-4053-A7EE-37F053812F8A}" name="CancelReason"/>
    <tableColumn id="9" xr3:uid="{30A25652-0914-4CC5-A44F-87415CE92735}" name="Field"/>
    <tableColumn id="10" xr3:uid="{B2526EB0-4644-44BD-B205-F73A9CE60A65}" name="OldValue"/>
    <tableColumn id="11" xr3:uid="{B7AAD4B6-2E49-4BF2-AB9C-13B0640977AE}" name="NewValue"/>
    <tableColumn id="12" xr3:uid="{9F5AFD2B-0642-4ED5-BF83-7C55D723676E}" name="Year" dataDxfId="38">
      <calculatedColumnFormula>IF(tblHistory[[#This Row],[Timestamp]]="","",YEAR(tblHistory[[#This Row],[Timestamp]]))</calculatedColumnFormula>
    </tableColumn>
    <tableColumn id="13" xr3:uid="{EE6F6BBF-3EAD-4775-BA04-A92A9F1D9FDE}" name="Month" dataDxfId="37">
      <calculatedColumnFormula>IF(tblHistory[[#This Row],[Timestamp]]="","",MONTH(tblHistory[[#This Row],[Timestamp]]))</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80514E9-3A9A-4D3B-91D7-C5E4433FADF9}" name="tblMasterData" displayName="tblMasterData" ref="A1:AS23" totalsRowShown="0" headerRowDxfId="33" dataDxfId="32">
  <autoFilter ref="A1:AS23" xr:uid="{780514E9-3A9A-4D3B-91D7-C5E4433FADF9}"/>
  <tableColumns count="45">
    <tableColumn id="1" xr3:uid="{D740E066-E39C-4E01-AED6-9E1D74CBB938}" name="Week" dataDxfId="31"/>
    <tableColumn id="2" xr3:uid="{7638B235-73CB-4CC8-8094-783DDCF13CDA}" name="Vessel" dataDxfId="30"/>
    <tableColumn id="3" xr3:uid="{2A8B5CC1-6DD7-4EEA-A8AC-178D31943E8A}" name="Voyage" dataDxfId="29"/>
    <tableColumn id="4" xr3:uid="{BEFA2188-4A5E-41B8-AAE2-A2E778CC623F}" name="ETA" dataDxfId="28"/>
    <tableColumn id="5" xr3:uid="{796D8D8E-0055-4DDC-80B9-3DC5B27084A5}" name="ETD" dataDxfId="27"/>
    <tableColumn id="6" xr3:uid="{748014BE-AB26-45AD-830F-A4366548F4F7}" name="Cut-Off" dataDxfId="26"/>
    <tableColumn id="7" xr3:uid="{83A642A8-5A7D-45C1-977A-E7BFBC7F06AA}" name="ETA T/S" dataDxfId="25"/>
    <tableColumn id="27" xr3:uid="{F491D111-EC89-4BCE-A61F-28795C428318}" name="Comments 1" dataDxfId="24"/>
    <tableColumn id="8" xr3:uid="{F18B33F2-05FF-42A9-BB93-A747D6D2E56E}" name="Booking number" dataDxfId="23"/>
    <tableColumn id="9" xr3:uid="{53C1A251-F36B-4AC3-94E6-25CD50C5210A}" name="O/V" dataDxfId="22"/>
    <tableColumn id="10" xr3:uid="{46C60512-EBC6-498C-AD5E-E88F8385E604}" name="SVC" dataDxfId="21"/>
    <tableColumn id="11" xr3:uid="{98495A25-BA3E-4209-85D8-C217C010C9D5}" name="Booking status" dataDxfId="20"/>
    <tableColumn id="12" xr3:uid="{CEC76B15-FDD5-4834-8F2D-D1C2A96A389F}" name="CNTR AMT" dataDxfId="19"/>
    <tableColumn id="13" xr3:uid="{5885FBE3-FB10-4CDD-BE3B-1A39C98B24A5}" name="SIZE" dataDxfId="18"/>
    <tableColumn id="14" xr3:uid="{A4B87C46-AEF0-4FE2-BD14-78FE8C9BB8BD}" name="TYPE" dataDxfId="17"/>
    <tableColumn id="15" xr3:uid="{8F083A6D-3109-4D37-BE17-385F3790480D}" name="GWT" dataDxfId="16"/>
    <tableColumn id="16" xr3:uid="{5C3D228A-E822-4303-BD5D-B898AED264F4}" name="POL" dataDxfId="15"/>
    <tableColumn id="17" xr3:uid="{B0734832-DE51-4D21-8AB4-44971B64B565}" name="EU TS" dataDxfId="14"/>
    <tableColumn id="18" xr3:uid="{4E891063-25E3-42E9-9784-F9A709B129B0}" name="POD CODE" dataDxfId="13"/>
    <tableColumn id="19" xr3:uid="{D6BBC399-47CF-43D7-9CBE-6E07140AF5C2}" name="POD" dataDxfId="12"/>
    <tableColumn id="20" xr3:uid="{97BAB950-5FBF-4603-BF54-B5AC7E4DFAAF}" name="CUSTOMER" dataDxfId="11"/>
    <tableColumn id="21" xr3:uid="{D9E103D9-8563-4F36-8A4B-6EF95FE1950D}" name="Comments 2" dataDxfId="10"/>
    <tableColumn id="28" xr3:uid="{4F607607-D4E8-4092-AF20-C90B26D38C89}" name="RowStatus" dataDxfId="9"/>
    <tableColumn id="29" xr3:uid="{0140BF3D-2FF9-4789-A430-7D3548C0860D}" name="CancelReason" dataDxfId="8"/>
    <tableColumn id="22" xr3:uid="{5E42855D-7A0A-447C-97A1-8D1354C12AD0}" name="Summary" dataDxfId="7"/>
    <tableColumn id="23" xr3:uid="{58A38194-145A-4FB9-B7BE-412E8F7CB3BE}" name="TEU" dataDxfId="6"/>
    <tableColumn id="24" xr3:uid="{8F42F5A5-9BCD-4A4D-9C0E-0ECAE61AA4EC}" name="TS" dataDxfId="5"/>
    <tableColumn id="25" xr3:uid="{03400DFB-46CE-4A5B-B699-07E17E6B083B}" name="BlockID" dataDxfId="4"/>
    <tableColumn id="26" xr3:uid="{E513765E-2DEA-400C-8BB2-79A366260968}" name="RowID" dataDxfId="3"/>
    <tableColumn id="30" xr3:uid="{CE144E0E-3677-4E30-B9B4-F23728B2EB1A}" name="LoadStatus" dataCellStyle="Normal"/>
    <tableColumn id="31" xr3:uid="{D73F3397-F05F-4EA6-B418-C9A66C6281A8}" name="Loaded Containers" dataCellStyle="Normal"/>
    <tableColumn id="32" xr3:uid="{5586CC56-10C6-4362-A97C-7D82327478B1}" name="Empty Containers" dataCellStyle="Normal"/>
    <tableColumn id="33" xr3:uid="{8FF54816-9454-46FF-A098-F4C6FB7BA86E}" name="Total Containers" dataCellStyle="Normal"/>
    <tableColumn id="34" xr3:uid="{71BB0E97-EBF8-4CB6-A18C-96A3BC6DB966}" name="Loaded 20ft" dataCellStyle="Normal"/>
    <tableColumn id="35" xr3:uid="{187B14F2-AE6F-4473-8C2C-489B254AAA30}" name="Empty 20ft" dataCellStyle="Normal"/>
    <tableColumn id="36" xr3:uid="{2AAE79F3-6C28-4238-B6E1-8FDD71110E65}" name="Total 20ft" dataCellStyle="Normal"/>
    <tableColumn id="37" xr3:uid="{BE423B5D-AEC5-4943-B91B-6F2BEAB7F8EE}" name="Loaded 40ft" dataCellStyle="Normal"/>
    <tableColumn id="38" xr3:uid="{8FC50AC8-6550-44BF-B808-034FDDEC8E3B}" name="Empty 40ft" dataCellStyle="Normal"/>
    <tableColumn id="39" xr3:uid="{35935788-5934-4D1A-81D0-3917322A4D93}" name="Total 40ft" dataCellStyle="Normal"/>
    <tableColumn id="40" xr3:uid="{94BBEF47-4219-43CA-884C-3DCB2E7BFA93}" name="Loaded TEU" dataCellStyle="Normal"/>
    <tableColumn id="41" xr3:uid="{EF0669FF-6744-49B4-B19C-E9F257686E3E}" name="Empty TEU" dataCellStyle="Normal"/>
    <tableColumn id="42" xr3:uid="{DC531A65-713A-45C9-B3BE-B7B5BC786EFE}" name="Total TEU" dataCellStyle="Normal"/>
    <tableColumn id="43" xr3:uid="{392CC136-391B-4E0A-B91B-2005E4FDB48D}" name="Loaded GWT" dataCellStyle="Normal"/>
    <tableColumn id="44" xr3:uid="{63A5A555-464D-42E8-B9E4-D878AC18B3D5}" name="Empty GWT" dataCellStyle="Normal"/>
    <tableColumn id="45" xr3:uid="{120F56A6-149C-4F93-9058-B818EE31A9AC}" name="Total GWT" dataCellStyle="Normal"/>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B4094-01F6-411B-A040-1D073F081AC0}">
  <sheetPr codeName="Sheet4"/>
  <dimension ref="A1:AS164"/>
  <sheetViews>
    <sheetView zoomScale="89" zoomScaleNormal="85" workbookViewId="0">
      <pane xSplit="3" ySplit="4" topLeftCell="W95" activePane="bottomRight" state="frozen"/>
      <selection pane="topRight" activeCell="D1" sqref="D1"/>
      <selection pane="bottomLeft" activeCell="A5" sqref="A5"/>
      <selection pane="bottomRight" activeCell="AD114" sqref="AD114"/>
    </sheetView>
  </sheetViews>
  <sheetFormatPr baseColWidth="10" defaultColWidth="8.6640625" defaultRowHeight="15"/>
  <cols>
    <col min="1" max="1" width="10.83203125" bestFit="1" customWidth="1"/>
    <col min="2" max="2" width="12.33203125" bestFit="1" customWidth="1"/>
    <col min="3" max="3" width="12.6640625" bestFit="1" customWidth="1"/>
    <col min="4" max="5" width="10.33203125" bestFit="1" customWidth="1"/>
    <col min="6" max="6" width="12.6640625" bestFit="1" customWidth="1"/>
    <col min="7" max="7" width="12.83203125" bestFit="1" customWidth="1"/>
    <col min="8" max="8" width="19.5" bestFit="1" customWidth="1"/>
    <col min="9" max="9" width="34" style="40" customWidth="1"/>
    <col min="10" max="10" width="19.83203125" customWidth="1"/>
    <col min="11" max="11" width="9" bestFit="1" customWidth="1"/>
    <col min="12" max="12" width="21.6640625" bestFit="1" customWidth="1"/>
    <col min="13" max="13" width="16.5" bestFit="1" customWidth="1"/>
    <col min="14" max="14" width="9.5" bestFit="1" customWidth="1"/>
    <col min="15" max="15" width="10" bestFit="1" customWidth="1"/>
    <col min="16" max="16" width="9.6640625" bestFit="1" customWidth="1"/>
    <col min="17" max="17" width="9.5" bestFit="1" customWidth="1"/>
    <col min="18" max="18" width="10.83203125" bestFit="1" customWidth="1"/>
    <col min="19" max="19" width="17.1640625" bestFit="1" customWidth="1"/>
    <col min="20" max="20" width="14.33203125" bestFit="1" customWidth="1"/>
    <col min="21" max="21" width="18" bestFit="1" customWidth="1"/>
    <col min="22" max="22" width="19.5" bestFit="1" customWidth="1"/>
    <col min="23" max="23" width="17" bestFit="1" customWidth="1"/>
    <col min="24" max="24" width="21.83203125" bestFit="1" customWidth="1"/>
    <col min="25" max="25" width="15.5" bestFit="1" customWidth="1"/>
    <col min="26" max="26" width="8.83203125" bestFit="1" customWidth="1"/>
    <col min="27" max="27" width="8.33203125" bestFit="1" customWidth="1"/>
    <col min="28" max="28" width="13.5" hidden="1" customWidth="1"/>
    <col min="29" max="29" width="14.1640625" hidden="1" customWidth="1"/>
    <col min="30" max="30" width="13" customWidth="1"/>
    <col min="31" max="33" width="18" customWidth="1"/>
    <col min="34" max="45" width="14" customWidth="1"/>
  </cols>
  <sheetData>
    <row r="1" spans="1:45">
      <c r="A1" s="1"/>
      <c r="B1" s="1"/>
      <c r="C1" s="1"/>
      <c r="D1" s="1"/>
    </row>
    <row r="2" spans="1:45">
      <c r="A2" s="1"/>
      <c r="B2" s="1"/>
      <c r="C2" s="1"/>
      <c r="D2" s="1"/>
      <c r="F2" s="56" t="s">
        <v>99</v>
      </c>
      <c r="G2" s="57"/>
      <c r="H2" s="57"/>
      <c r="I2" s="57"/>
    </row>
    <row r="3" spans="1:45">
      <c r="A3" s="1"/>
      <c r="B3" s="1"/>
      <c r="C3" s="1"/>
      <c r="D3" s="1"/>
      <c r="F3" s="57"/>
      <c r="G3" s="57"/>
      <c r="H3" s="57"/>
      <c r="I3" s="57"/>
    </row>
    <row r="4" spans="1:45">
      <c r="A4" s="1"/>
      <c r="B4" s="1"/>
      <c r="C4" s="1"/>
      <c r="D4" s="1"/>
      <c r="F4" s="57"/>
      <c r="G4" s="57"/>
      <c r="H4" s="57"/>
      <c r="I4" s="57"/>
    </row>
    <row r="5" spans="1:45">
      <c r="A5" s="1" t="s">
        <v>30</v>
      </c>
      <c r="B5" s="1"/>
      <c r="C5" s="1"/>
      <c r="D5" s="1"/>
    </row>
    <row r="7" spans="1:45">
      <c r="A7" s="53" t="s">
        <v>0</v>
      </c>
      <c r="B7" s="53" t="s">
        <v>1</v>
      </c>
      <c r="C7" s="53" t="s">
        <v>2</v>
      </c>
      <c r="D7" s="55" t="s">
        <v>3</v>
      </c>
      <c r="E7" s="55" t="s">
        <v>4</v>
      </c>
      <c r="F7" s="55" t="s">
        <v>5</v>
      </c>
      <c r="G7" s="55" t="s">
        <v>6</v>
      </c>
      <c r="H7" s="53" t="s">
        <v>7</v>
      </c>
      <c r="I7" s="53" t="s">
        <v>8</v>
      </c>
      <c r="J7" s="53" t="s">
        <v>9</v>
      </c>
      <c r="K7" s="53" t="s">
        <v>10</v>
      </c>
      <c r="L7" s="53" t="s">
        <v>11</v>
      </c>
      <c r="M7" s="53" t="s">
        <v>12</v>
      </c>
      <c r="N7" s="53" t="s">
        <v>13</v>
      </c>
      <c r="O7" s="53" t="s">
        <v>14</v>
      </c>
      <c r="P7" s="53" t="s">
        <v>15</v>
      </c>
      <c r="Q7" s="53" t="s">
        <v>16</v>
      </c>
      <c r="R7" s="53" t="s">
        <v>17</v>
      </c>
      <c r="S7" s="53" t="s">
        <v>18</v>
      </c>
      <c r="T7" s="53" t="s">
        <v>19</v>
      </c>
      <c r="U7" s="53" t="s">
        <v>20</v>
      </c>
      <c r="V7" s="53" t="s">
        <v>21</v>
      </c>
      <c r="W7" s="53" t="s">
        <v>22</v>
      </c>
      <c r="X7" s="53" t="s">
        <v>23</v>
      </c>
      <c r="Y7" s="53" t="s">
        <v>24</v>
      </c>
      <c r="Z7" s="53" t="s">
        <v>25</v>
      </c>
      <c r="AA7" s="53" t="s">
        <v>26</v>
      </c>
      <c r="AB7" s="53" t="s">
        <v>27</v>
      </c>
      <c r="AC7" s="53" t="s">
        <v>28</v>
      </c>
      <c r="AD7" s="53" t="s">
        <v>89</v>
      </c>
      <c r="AE7" s="53" t="s">
        <v>90</v>
      </c>
      <c r="AF7" s="53" t="s">
        <v>91</v>
      </c>
      <c r="AG7" s="53" t="s">
        <v>92</v>
      </c>
      <c r="AH7" s="53" t="s">
        <v>93</v>
      </c>
      <c r="AI7" s="53" t="s">
        <v>94</v>
      </c>
      <c r="AJ7" s="53" t="s">
        <v>95</v>
      </c>
      <c r="AK7" s="53" t="s">
        <v>96</v>
      </c>
      <c r="AL7" s="53" t="s">
        <v>97</v>
      </c>
      <c r="AM7" s="53" t="s">
        <v>98</v>
      </c>
      <c r="AN7" s="53" t="s">
        <v>70</v>
      </c>
      <c r="AO7" s="53" t="s">
        <v>71</v>
      </c>
      <c r="AP7" s="53" t="s">
        <v>48</v>
      </c>
      <c r="AQ7" s="53" t="s">
        <v>79</v>
      </c>
      <c r="AR7" s="53" t="s">
        <v>80</v>
      </c>
      <c r="AS7" s="53" t="s">
        <v>78</v>
      </c>
    </row>
    <row r="8" spans="1:45">
      <c r="A8" s="53">
        <v>36</v>
      </c>
      <c r="B8" s="53" t="s">
        <v>100</v>
      </c>
      <c r="C8" s="53" t="s">
        <v>101</v>
      </c>
      <c r="D8" s="55">
        <v>46267</v>
      </c>
      <c r="E8" s="55">
        <v>46269</v>
      </c>
      <c r="F8" s="55">
        <v>46266</v>
      </c>
      <c r="G8" s="55">
        <v>46275</v>
      </c>
      <c r="H8" s="53" t="s">
        <v>102</v>
      </c>
      <c r="I8" s="53" t="s">
        <v>103</v>
      </c>
      <c r="J8" s="53" t="s">
        <v>104</v>
      </c>
      <c r="K8" s="53" t="s">
        <v>105</v>
      </c>
      <c r="L8" s="53" t="s">
        <v>106</v>
      </c>
      <c r="M8" s="53">
        <v>3</v>
      </c>
      <c r="N8" s="53">
        <v>2</v>
      </c>
      <c r="O8" s="53" t="s">
        <v>107</v>
      </c>
      <c r="P8" s="53">
        <v>54000</v>
      </c>
      <c r="Q8" s="53" t="s">
        <v>108</v>
      </c>
      <c r="R8" s="53" t="s">
        <v>109</v>
      </c>
      <c r="S8" s="53" t="s">
        <v>110</v>
      </c>
      <c r="T8" s="53" t="s">
        <v>111</v>
      </c>
      <c r="U8" s="53" t="s">
        <v>112</v>
      </c>
      <c r="V8" s="53" t="s">
        <v>113</v>
      </c>
      <c r="W8" s="53" t="s">
        <v>114</v>
      </c>
      <c r="X8" s="53"/>
      <c r="Y8" s="53">
        <f t="shared" ref="Y8:Y39" si="0">IF(UPPER(TRIM($W8&amp;""))="CANCELLED",0,IFERROR(0+$M8,0))</f>
        <v>3</v>
      </c>
      <c r="Z8" s="53">
        <f t="shared" ref="Z8:Z39" si="1">IF(UPPER(TRIM($W8&amp;""))="CANCELLED",0,IFERROR((IFERROR(0+$M8,0))*IF(IFERROR(0+TRIM($N8&amp;""),0)=4,2,IF(IFERROR(0+TRIM($N8&amp;""),0)=2,1,0)),0))</f>
        <v>3</v>
      </c>
      <c r="AA8" s="53">
        <f t="shared" ref="AA8:AA39" si="2">IF(UPPER(TRIM($W8&amp;""))="CANCELLED",0,IFERROR(0+$P8,0))</f>
        <v>54000</v>
      </c>
      <c r="AB8" s="53" t="s">
        <v>115</v>
      </c>
      <c r="AC8" s="53" t="s">
        <v>116</v>
      </c>
      <c r="AD8" s="53"/>
      <c r="AE8" s="53">
        <f t="shared" ref="AE8:AE39" si="3">IF(UPPER(TRIM($W8&amp;""))="CANCELLED",0,IF(UPPER(TRIM($AD8&amp;""))="EMPTY",0,IFERROR(0+$M8,0)))</f>
        <v>3</v>
      </c>
      <c r="AF8" s="53">
        <f t="shared" ref="AF8:AF39" si="4">IF(UPPER(TRIM($W8&amp;""))="CANCELLED",0,IF(UPPER(TRIM($AD8&amp;""))="EMPTY",IFERROR(0+$M8,0),0))</f>
        <v>0</v>
      </c>
      <c r="AG8" s="53">
        <f t="shared" ref="AG8:AG39" si="5">AE8+AF8</f>
        <v>3</v>
      </c>
      <c r="AH8" s="53">
        <f t="shared" ref="AH8:AH39" si="6">IF(UPPER(TRIM($W8&amp;""))="CANCELLED",0,IF(AND(NOT(UPPER(TRIM($AD8&amp;""))="EMPTY"),IFERROR(0+TRIM($N8&amp;""),0)=2),IFERROR(0+$M8,0),0))</f>
        <v>3</v>
      </c>
      <c r="AI8" s="53">
        <f t="shared" ref="AI8:AI39" si="7">IF(UPPER(TRIM($W8&amp;""))="CANCELLED",0,IF(AND(UPPER(TRIM($AD8&amp;""))="EMPTY",IFERROR(0+TRIM($N8&amp;""),0)=2),IFERROR(0+$M8,0),0))</f>
        <v>0</v>
      </c>
      <c r="AJ8" s="53">
        <f t="shared" ref="AJ8:AJ39" si="8">AH8+AI8</f>
        <v>3</v>
      </c>
      <c r="AK8" s="53">
        <f t="shared" ref="AK8:AK39" si="9">IF(UPPER(TRIM($W8&amp;""))="CANCELLED",0,IF(AND(NOT(UPPER(TRIM($AD8&amp;""))="EMPTY"),IFERROR(0+TRIM($N8&amp;""),0)=4),IFERROR(0+$M8,0),0))</f>
        <v>0</v>
      </c>
      <c r="AL8" s="53">
        <f t="shared" ref="AL8:AL39" si="10">IF(UPPER(TRIM($W8&amp;""))="CANCELLED",0,IF(AND(UPPER(TRIM($AD8&amp;""))="EMPTY",IFERROR(0+TRIM($N8&amp;""),0)=4),IFERROR(0+$M8,0),0))</f>
        <v>0</v>
      </c>
      <c r="AM8" s="53">
        <f t="shared" ref="AM8:AM39" si="11">AK8+AL8</f>
        <v>0</v>
      </c>
      <c r="AN8" s="53">
        <f t="shared" ref="AN8:AN39" si="12">IF(UPPER(TRIM($W8&amp;""))="CANCELLED",0,IF(UPPER(TRIM($AD8&amp;""))="EMPTY",0,IFERROR((IFERROR(0+$M8,0))*IF(IFERROR(0+TRIM($N8&amp;""),0)=4,2,IF(IFERROR(0+TRIM($N8&amp;""),0)=2,1,0)),0)))</f>
        <v>3</v>
      </c>
      <c r="AO8" s="53">
        <f t="shared" ref="AO8:AO39" si="13">IF(UPPER(TRIM($W8&amp;""))="CANCELLED",0,IF(UPPER(TRIM($AD8&amp;""))="EMPTY",IFERROR((IFERROR(0+$M8,0))*IF(IFERROR(0+TRIM($N8&amp;""),0)=4,2,IF(IFERROR(0+TRIM($N8&amp;""),0)=2,1,0)),0),0))</f>
        <v>0</v>
      </c>
      <c r="AP8" s="53">
        <f t="shared" ref="AP8:AP39" si="14">AN8+AO8</f>
        <v>3</v>
      </c>
      <c r="AQ8" s="53">
        <f t="shared" ref="AQ8:AQ39" si="15">IF(UPPER(TRIM($W8&amp;""))="CANCELLED",0,IF(UPPER(TRIM($AD8&amp;""))="EMPTY",0,IFERROR(0+$P8,0)))</f>
        <v>54000</v>
      </c>
      <c r="AR8" s="53">
        <f t="shared" ref="AR8:AR39" si="16">IF(UPPER(TRIM($W8&amp;""))="CANCELLED",0,IF(UPPER(TRIM($AD8&amp;""))="EMPTY",IFERROR(0+$P8,0),0))</f>
        <v>0</v>
      </c>
      <c r="AS8" s="53">
        <f t="shared" ref="AS8:AS39" si="17">AQ8+AR8</f>
        <v>54000</v>
      </c>
    </row>
    <row r="9" spans="1:45">
      <c r="A9" s="53">
        <v>36</v>
      </c>
      <c r="B9" s="53" t="s">
        <v>100</v>
      </c>
      <c r="C9" s="53" t="s">
        <v>101</v>
      </c>
      <c r="D9" s="55">
        <v>46267</v>
      </c>
      <c r="E9" s="55">
        <v>46269</v>
      </c>
      <c r="F9" s="55">
        <v>46266</v>
      </c>
      <c r="G9" s="55">
        <v>46275</v>
      </c>
      <c r="H9" s="53" t="s">
        <v>102</v>
      </c>
      <c r="I9" s="53" t="s">
        <v>117</v>
      </c>
      <c r="J9" s="53" t="s">
        <v>104</v>
      </c>
      <c r="K9" s="53" t="s">
        <v>105</v>
      </c>
      <c r="L9" s="53" t="s">
        <v>106</v>
      </c>
      <c r="M9" s="53">
        <v>2</v>
      </c>
      <c r="N9" s="53">
        <v>4</v>
      </c>
      <c r="O9" s="53" t="s">
        <v>118</v>
      </c>
      <c r="P9" s="53">
        <v>42000</v>
      </c>
      <c r="Q9" s="53" t="s">
        <v>108</v>
      </c>
      <c r="R9" s="53" t="s">
        <v>109</v>
      </c>
      <c r="S9" s="53" t="s">
        <v>110</v>
      </c>
      <c r="T9" s="53" t="s">
        <v>111</v>
      </c>
      <c r="U9" s="53" t="s">
        <v>119</v>
      </c>
      <c r="V9" s="53" t="s">
        <v>113</v>
      </c>
      <c r="W9" s="53" t="s">
        <v>114</v>
      </c>
      <c r="X9" s="53"/>
      <c r="Y9" s="53">
        <f t="shared" si="0"/>
        <v>2</v>
      </c>
      <c r="Z9" s="53">
        <f t="shared" si="1"/>
        <v>4</v>
      </c>
      <c r="AA9" s="53">
        <f t="shared" si="2"/>
        <v>42000</v>
      </c>
      <c r="AB9" s="53" t="s">
        <v>115</v>
      </c>
      <c r="AC9" s="53" t="s">
        <v>120</v>
      </c>
      <c r="AD9" s="53" t="s">
        <v>121</v>
      </c>
      <c r="AE9" s="53">
        <f t="shared" si="3"/>
        <v>0</v>
      </c>
      <c r="AF9" s="53">
        <f t="shared" si="4"/>
        <v>2</v>
      </c>
      <c r="AG9" s="53">
        <f t="shared" si="5"/>
        <v>2</v>
      </c>
      <c r="AH9" s="53">
        <f t="shared" si="6"/>
        <v>0</v>
      </c>
      <c r="AI9" s="53">
        <f t="shared" si="7"/>
        <v>0</v>
      </c>
      <c r="AJ9" s="53">
        <f t="shared" si="8"/>
        <v>0</v>
      </c>
      <c r="AK9" s="53">
        <f t="shared" si="9"/>
        <v>0</v>
      </c>
      <c r="AL9" s="53">
        <f t="shared" si="10"/>
        <v>2</v>
      </c>
      <c r="AM9" s="53">
        <f t="shared" si="11"/>
        <v>2</v>
      </c>
      <c r="AN9" s="53">
        <f t="shared" si="12"/>
        <v>0</v>
      </c>
      <c r="AO9" s="53">
        <f t="shared" si="13"/>
        <v>4</v>
      </c>
      <c r="AP9" s="53">
        <f t="shared" si="14"/>
        <v>4</v>
      </c>
      <c r="AQ9" s="53">
        <f t="shared" si="15"/>
        <v>0</v>
      </c>
      <c r="AR9" s="53">
        <f t="shared" si="16"/>
        <v>42000</v>
      </c>
      <c r="AS9" s="53">
        <f t="shared" si="17"/>
        <v>42000</v>
      </c>
    </row>
    <row r="10" spans="1:45">
      <c r="A10" s="53">
        <v>36</v>
      </c>
      <c r="B10" s="53" t="s">
        <v>100</v>
      </c>
      <c r="C10" s="53" t="s">
        <v>101</v>
      </c>
      <c r="D10" s="55">
        <v>46267</v>
      </c>
      <c r="E10" s="55">
        <v>46269</v>
      </c>
      <c r="F10" s="55">
        <v>46266</v>
      </c>
      <c r="G10" s="55">
        <v>46275</v>
      </c>
      <c r="H10" s="53" t="s">
        <v>102</v>
      </c>
      <c r="I10" s="53" t="s">
        <v>122</v>
      </c>
      <c r="J10" s="53" t="s">
        <v>104</v>
      </c>
      <c r="K10" s="53" t="s">
        <v>105</v>
      </c>
      <c r="L10" s="53" t="s">
        <v>106</v>
      </c>
      <c r="M10" s="53">
        <v>1</v>
      </c>
      <c r="N10" s="53">
        <v>4</v>
      </c>
      <c r="O10" s="53" t="s">
        <v>123</v>
      </c>
      <c r="P10" s="53">
        <v>18000</v>
      </c>
      <c r="Q10" s="53" t="s">
        <v>108</v>
      </c>
      <c r="R10" s="53" t="s">
        <v>109</v>
      </c>
      <c r="S10" s="53" t="s">
        <v>110</v>
      </c>
      <c r="T10" s="53" t="s">
        <v>111</v>
      </c>
      <c r="U10" s="53" t="s">
        <v>124</v>
      </c>
      <c r="V10" s="53" t="s">
        <v>113</v>
      </c>
      <c r="W10" s="53" t="s">
        <v>114</v>
      </c>
      <c r="X10" s="53"/>
      <c r="Y10" s="53">
        <f t="shared" si="0"/>
        <v>1</v>
      </c>
      <c r="Z10" s="53">
        <f t="shared" si="1"/>
        <v>2</v>
      </c>
      <c r="AA10" s="53">
        <f t="shared" si="2"/>
        <v>18000</v>
      </c>
      <c r="AB10" s="53" t="s">
        <v>115</v>
      </c>
      <c r="AC10" s="53" t="s">
        <v>125</v>
      </c>
      <c r="AD10" s="53" t="s">
        <v>126</v>
      </c>
      <c r="AE10" s="53">
        <f t="shared" si="3"/>
        <v>1</v>
      </c>
      <c r="AF10" s="53">
        <f t="shared" si="4"/>
        <v>0</v>
      </c>
      <c r="AG10" s="53">
        <f t="shared" si="5"/>
        <v>1</v>
      </c>
      <c r="AH10" s="53">
        <f t="shared" si="6"/>
        <v>0</v>
      </c>
      <c r="AI10" s="53">
        <f t="shared" si="7"/>
        <v>0</v>
      </c>
      <c r="AJ10" s="53">
        <f t="shared" si="8"/>
        <v>0</v>
      </c>
      <c r="AK10" s="53">
        <f t="shared" si="9"/>
        <v>1</v>
      </c>
      <c r="AL10" s="53">
        <f t="shared" si="10"/>
        <v>0</v>
      </c>
      <c r="AM10" s="53">
        <f t="shared" si="11"/>
        <v>1</v>
      </c>
      <c r="AN10" s="53">
        <f t="shared" si="12"/>
        <v>2</v>
      </c>
      <c r="AO10" s="53">
        <f t="shared" si="13"/>
        <v>0</v>
      </c>
      <c r="AP10" s="53">
        <f t="shared" si="14"/>
        <v>2</v>
      </c>
      <c r="AQ10" s="53">
        <f t="shared" si="15"/>
        <v>18000</v>
      </c>
      <c r="AR10" s="53">
        <f t="shared" si="16"/>
        <v>0</v>
      </c>
      <c r="AS10" s="53">
        <f t="shared" si="17"/>
        <v>18000</v>
      </c>
    </row>
    <row r="11" spans="1:45">
      <c r="A11" s="53">
        <v>36</v>
      </c>
      <c r="B11" s="53" t="s">
        <v>127</v>
      </c>
      <c r="C11" s="53" t="s">
        <v>128</v>
      </c>
      <c r="D11" s="55">
        <v>46268</v>
      </c>
      <c r="E11" s="55">
        <v>46270</v>
      </c>
      <c r="F11" s="55">
        <v>46267</v>
      </c>
      <c r="G11" s="55">
        <v>46277</v>
      </c>
      <c r="H11" s="53" t="s">
        <v>102</v>
      </c>
      <c r="I11" s="53" t="s">
        <v>129</v>
      </c>
      <c r="J11" s="53" t="s">
        <v>104</v>
      </c>
      <c r="K11" s="53" t="s">
        <v>130</v>
      </c>
      <c r="L11" s="53" t="s">
        <v>106</v>
      </c>
      <c r="M11" s="53">
        <v>4</v>
      </c>
      <c r="N11" s="53">
        <v>2</v>
      </c>
      <c r="O11" s="53" t="s">
        <v>107</v>
      </c>
      <c r="P11" s="53">
        <v>70000</v>
      </c>
      <c r="Q11" s="53" t="s">
        <v>131</v>
      </c>
      <c r="R11" s="53" t="s">
        <v>109</v>
      </c>
      <c r="S11" s="53" t="s">
        <v>132</v>
      </c>
      <c r="T11" s="53" t="s">
        <v>133</v>
      </c>
      <c r="U11" s="53" t="s">
        <v>134</v>
      </c>
      <c r="V11" s="53" t="s">
        <v>113</v>
      </c>
      <c r="W11" s="53" t="s">
        <v>114</v>
      </c>
      <c r="X11" s="53"/>
      <c r="Y11" s="53">
        <f t="shared" si="0"/>
        <v>4</v>
      </c>
      <c r="Z11" s="53">
        <f t="shared" si="1"/>
        <v>4</v>
      </c>
      <c r="AA11" s="53">
        <f t="shared" si="2"/>
        <v>70000</v>
      </c>
      <c r="AB11" s="53" t="s">
        <v>115</v>
      </c>
      <c r="AC11" s="53" t="s">
        <v>135</v>
      </c>
      <c r="AD11" s="53" t="s">
        <v>126</v>
      </c>
      <c r="AE11" s="53">
        <f t="shared" si="3"/>
        <v>4</v>
      </c>
      <c r="AF11" s="53">
        <f t="shared" si="4"/>
        <v>0</v>
      </c>
      <c r="AG11" s="53">
        <f t="shared" si="5"/>
        <v>4</v>
      </c>
      <c r="AH11" s="53">
        <f t="shared" si="6"/>
        <v>4</v>
      </c>
      <c r="AI11" s="53">
        <f t="shared" si="7"/>
        <v>0</v>
      </c>
      <c r="AJ11" s="53">
        <f t="shared" si="8"/>
        <v>4</v>
      </c>
      <c r="AK11" s="53">
        <f t="shared" si="9"/>
        <v>0</v>
      </c>
      <c r="AL11" s="53">
        <f t="shared" si="10"/>
        <v>0</v>
      </c>
      <c r="AM11" s="53">
        <f t="shared" si="11"/>
        <v>0</v>
      </c>
      <c r="AN11" s="53">
        <f t="shared" si="12"/>
        <v>4</v>
      </c>
      <c r="AO11" s="53">
        <f t="shared" si="13"/>
        <v>0</v>
      </c>
      <c r="AP11" s="53">
        <f t="shared" si="14"/>
        <v>4</v>
      </c>
      <c r="AQ11" s="53">
        <f t="shared" si="15"/>
        <v>70000</v>
      </c>
      <c r="AR11" s="53">
        <f t="shared" si="16"/>
        <v>0</v>
      </c>
      <c r="AS11" s="53">
        <f t="shared" si="17"/>
        <v>70000</v>
      </c>
    </row>
    <row r="12" spans="1:45">
      <c r="A12" s="53">
        <v>36</v>
      </c>
      <c r="B12" s="53"/>
      <c r="C12" s="53"/>
      <c r="D12" s="55"/>
      <c r="E12" s="55"/>
      <c r="F12" s="55"/>
      <c r="G12" s="55"/>
      <c r="H12" s="53"/>
      <c r="I12" s="53"/>
      <c r="J12" s="53"/>
      <c r="K12" s="53"/>
      <c r="L12" s="53"/>
      <c r="M12" s="53"/>
      <c r="N12" s="53"/>
      <c r="O12" s="53"/>
      <c r="P12" s="53"/>
      <c r="Q12" s="53"/>
      <c r="R12" s="53"/>
      <c r="S12" s="53"/>
      <c r="T12" s="53"/>
      <c r="U12" s="53"/>
      <c r="V12" s="53"/>
      <c r="W12" s="53"/>
      <c r="X12" s="53"/>
      <c r="Y12" s="53">
        <f t="shared" si="0"/>
        <v>0</v>
      </c>
      <c r="Z12" s="53">
        <f t="shared" si="1"/>
        <v>0</v>
      </c>
      <c r="AA12" s="53">
        <f t="shared" si="2"/>
        <v>0</v>
      </c>
      <c r="AB12" s="53" t="s">
        <v>115</v>
      </c>
      <c r="AC12" s="53" t="s">
        <v>136</v>
      </c>
      <c r="AD12" s="53"/>
      <c r="AE12" s="53">
        <f t="shared" si="3"/>
        <v>0</v>
      </c>
      <c r="AF12" s="53">
        <f t="shared" si="4"/>
        <v>0</v>
      </c>
      <c r="AG12" s="53">
        <f t="shared" si="5"/>
        <v>0</v>
      </c>
      <c r="AH12" s="53">
        <f t="shared" si="6"/>
        <v>0</v>
      </c>
      <c r="AI12" s="53">
        <f t="shared" si="7"/>
        <v>0</v>
      </c>
      <c r="AJ12" s="53">
        <f t="shared" si="8"/>
        <v>0</v>
      </c>
      <c r="AK12" s="53">
        <f t="shared" si="9"/>
        <v>0</v>
      </c>
      <c r="AL12" s="53">
        <f t="shared" si="10"/>
        <v>0</v>
      </c>
      <c r="AM12" s="53">
        <f t="shared" si="11"/>
        <v>0</v>
      </c>
      <c r="AN12" s="53">
        <f t="shared" si="12"/>
        <v>0</v>
      </c>
      <c r="AO12" s="53">
        <f t="shared" si="13"/>
        <v>0</v>
      </c>
      <c r="AP12" s="53">
        <f t="shared" si="14"/>
        <v>0</v>
      </c>
      <c r="AQ12" s="53">
        <f t="shared" si="15"/>
        <v>0</v>
      </c>
      <c r="AR12" s="53">
        <f t="shared" si="16"/>
        <v>0</v>
      </c>
      <c r="AS12" s="53">
        <f t="shared" si="17"/>
        <v>0</v>
      </c>
    </row>
    <row r="13" spans="1:45">
      <c r="A13" s="53">
        <v>36</v>
      </c>
      <c r="B13" s="53" t="s">
        <v>127</v>
      </c>
      <c r="C13" s="53" t="s">
        <v>128</v>
      </c>
      <c r="D13" s="55">
        <v>46268</v>
      </c>
      <c r="E13" s="55">
        <v>46270</v>
      </c>
      <c r="F13" s="55">
        <v>46267</v>
      </c>
      <c r="G13" s="55">
        <v>46277</v>
      </c>
      <c r="H13" s="53" t="s">
        <v>102</v>
      </c>
      <c r="I13" s="53" t="s">
        <v>137</v>
      </c>
      <c r="J13" s="53" t="s">
        <v>104</v>
      </c>
      <c r="K13" s="53" t="s">
        <v>130</v>
      </c>
      <c r="L13" s="53" t="s">
        <v>106</v>
      </c>
      <c r="M13" s="53">
        <v>2</v>
      </c>
      <c r="N13" s="53">
        <v>4</v>
      </c>
      <c r="O13" s="53" t="s">
        <v>118</v>
      </c>
      <c r="P13" s="53">
        <v>40000</v>
      </c>
      <c r="Q13" s="53" t="s">
        <v>131</v>
      </c>
      <c r="R13" s="53" t="s">
        <v>109</v>
      </c>
      <c r="S13" s="53" t="s">
        <v>132</v>
      </c>
      <c r="T13" s="53" t="s">
        <v>133</v>
      </c>
      <c r="U13" s="53" t="s">
        <v>112</v>
      </c>
      <c r="V13" s="53" t="s">
        <v>113</v>
      </c>
      <c r="W13" s="53" t="s">
        <v>138</v>
      </c>
      <c r="X13" s="53" t="s">
        <v>139</v>
      </c>
      <c r="Y13" s="53">
        <f t="shared" si="0"/>
        <v>0</v>
      </c>
      <c r="Z13" s="53">
        <f t="shared" si="1"/>
        <v>0</v>
      </c>
      <c r="AA13" s="53">
        <f t="shared" si="2"/>
        <v>0</v>
      </c>
      <c r="AB13" s="53" t="s">
        <v>115</v>
      </c>
      <c r="AC13" s="53" t="s">
        <v>140</v>
      </c>
      <c r="AD13" s="53" t="s">
        <v>126</v>
      </c>
      <c r="AE13" s="53">
        <f t="shared" si="3"/>
        <v>0</v>
      </c>
      <c r="AF13" s="53">
        <f t="shared" si="4"/>
        <v>0</v>
      </c>
      <c r="AG13" s="53">
        <f t="shared" si="5"/>
        <v>0</v>
      </c>
      <c r="AH13" s="53">
        <f t="shared" si="6"/>
        <v>0</v>
      </c>
      <c r="AI13" s="53">
        <f t="shared" si="7"/>
        <v>0</v>
      </c>
      <c r="AJ13" s="53">
        <f t="shared" si="8"/>
        <v>0</v>
      </c>
      <c r="AK13" s="53">
        <f t="shared" si="9"/>
        <v>0</v>
      </c>
      <c r="AL13" s="53">
        <f t="shared" si="10"/>
        <v>0</v>
      </c>
      <c r="AM13" s="53">
        <f t="shared" si="11"/>
        <v>0</v>
      </c>
      <c r="AN13" s="53">
        <f t="shared" si="12"/>
        <v>0</v>
      </c>
      <c r="AO13" s="53">
        <f t="shared" si="13"/>
        <v>0</v>
      </c>
      <c r="AP13" s="53">
        <f t="shared" si="14"/>
        <v>0</v>
      </c>
      <c r="AQ13" s="53">
        <f t="shared" si="15"/>
        <v>0</v>
      </c>
      <c r="AR13" s="53">
        <f t="shared" si="16"/>
        <v>0</v>
      </c>
      <c r="AS13" s="53">
        <f t="shared" si="17"/>
        <v>0</v>
      </c>
    </row>
    <row r="14" spans="1:45">
      <c r="A14" s="53">
        <v>36</v>
      </c>
      <c r="B14" s="53" t="s">
        <v>141</v>
      </c>
      <c r="C14" s="53" t="s">
        <v>142</v>
      </c>
      <c r="D14" s="55">
        <v>46270</v>
      </c>
      <c r="E14" s="55">
        <v>46271</v>
      </c>
      <c r="F14" s="55">
        <v>46269</v>
      </c>
      <c r="G14" s="55"/>
      <c r="H14" s="53" t="s">
        <v>102</v>
      </c>
      <c r="I14" s="53" t="s">
        <v>143</v>
      </c>
      <c r="J14" s="53" t="s">
        <v>104</v>
      </c>
      <c r="K14" s="53" t="s">
        <v>144</v>
      </c>
      <c r="L14" s="53" t="s">
        <v>106</v>
      </c>
      <c r="M14" s="53">
        <v>3</v>
      </c>
      <c r="N14" s="53">
        <v>2</v>
      </c>
      <c r="O14" s="53" t="s">
        <v>107</v>
      </c>
      <c r="P14" s="53">
        <v>12000</v>
      </c>
      <c r="Q14" s="53" t="s">
        <v>111</v>
      </c>
      <c r="R14" s="53" t="s">
        <v>109</v>
      </c>
      <c r="S14" s="53" t="s">
        <v>145</v>
      </c>
      <c r="T14" s="53" t="s">
        <v>108</v>
      </c>
      <c r="U14" s="53" t="s">
        <v>119</v>
      </c>
      <c r="V14" s="53" t="s">
        <v>113</v>
      </c>
      <c r="W14" s="53" t="s">
        <v>114</v>
      </c>
      <c r="X14" s="53"/>
      <c r="Y14" s="53">
        <f t="shared" si="0"/>
        <v>3</v>
      </c>
      <c r="Z14" s="53">
        <f t="shared" si="1"/>
        <v>3</v>
      </c>
      <c r="AA14" s="53">
        <f t="shared" si="2"/>
        <v>12000</v>
      </c>
      <c r="AB14" s="53" t="s">
        <v>115</v>
      </c>
      <c r="AC14" s="53" t="s">
        <v>146</v>
      </c>
      <c r="AD14" s="53" t="s">
        <v>121</v>
      </c>
      <c r="AE14" s="53">
        <f t="shared" si="3"/>
        <v>0</v>
      </c>
      <c r="AF14" s="53">
        <f t="shared" si="4"/>
        <v>3</v>
      </c>
      <c r="AG14" s="53">
        <f t="shared" si="5"/>
        <v>3</v>
      </c>
      <c r="AH14" s="53">
        <f t="shared" si="6"/>
        <v>0</v>
      </c>
      <c r="AI14" s="53">
        <f t="shared" si="7"/>
        <v>3</v>
      </c>
      <c r="AJ14" s="53">
        <f t="shared" si="8"/>
        <v>3</v>
      </c>
      <c r="AK14" s="53">
        <f t="shared" si="9"/>
        <v>0</v>
      </c>
      <c r="AL14" s="53">
        <f t="shared" si="10"/>
        <v>0</v>
      </c>
      <c r="AM14" s="53">
        <f t="shared" si="11"/>
        <v>0</v>
      </c>
      <c r="AN14" s="53">
        <f t="shared" si="12"/>
        <v>0</v>
      </c>
      <c r="AO14" s="53">
        <f t="shared" si="13"/>
        <v>3</v>
      </c>
      <c r="AP14" s="53">
        <f t="shared" si="14"/>
        <v>3</v>
      </c>
      <c r="AQ14" s="53">
        <f t="shared" si="15"/>
        <v>0</v>
      </c>
      <c r="AR14" s="53">
        <f t="shared" si="16"/>
        <v>12000</v>
      </c>
      <c r="AS14" s="53">
        <f t="shared" si="17"/>
        <v>12000</v>
      </c>
    </row>
    <row r="15" spans="1:45">
      <c r="A15" s="53">
        <v>36</v>
      </c>
      <c r="B15" s="53"/>
      <c r="C15" s="53"/>
      <c r="D15" s="55"/>
      <c r="E15" s="55"/>
      <c r="F15" s="55"/>
      <c r="G15" s="55"/>
      <c r="H15" s="53"/>
      <c r="I15" s="53"/>
      <c r="J15" s="53"/>
      <c r="K15" s="53"/>
      <c r="L15" s="53"/>
      <c r="M15" s="53"/>
      <c r="N15" s="53"/>
      <c r="O15" s="53"/>
      <c r="P15" s="53"/>
      <c r="Q15" s="53"/>
      <c r="R15" s="53"/>
      <c r="S15" s="53"/>
      <c r="T15" s="53"/>
      <c r="U15" s="53"/>
      <c r="V15" s="53"/>
      <c r="W15" s="53"/>
      <c r="X15" s="53"/>
      <c r="Y15" s="53">
        <f t="shared" si="0"/>
        <v>0</v>
      </c>
      <c r="Z15" s="53">
        <f t="shared" si="1"/>
        <v>0</v>
      </c>
      <c r="AA15" s="53">
        <f t="shared" si="2"/>
        <v>0</v>
      </c>
      <c r="AB15" s="53" t="s">
        <v>115</v>
      </c>
      <c r="AC15" s="53" t="s">
        <v>147</v>
      </c>
      <c r="AD15" s="53"/>
      <c r="AE15" s="53">
        <f t="shared" si="3"/>
        <v>0</v>
      </c>
      <c r="AF15" s="53">
        <f t="shared" si="4"/>
        <v>0</v>
      </c>
      <c r="AG15" s="53">
        <f t="shared" si="5"/>
        <v>0</v>
      </c>
      <c r="AH15" s="53">
        <f t="shared" si="6"/>
        <v>0</v>
      </c>
      <c r="AI15" s="53">
        <f t="shared" si="7"/>
        <v>0</v>
      </c>
      <c r="AJ15" s="53">
        <f t="shared" si="8"/>
        <v>0</v>
      </c>
      <c r="AK15" s="53">
        <f t="shared" si="9"/>
        <v>0</v>
      </c>
      <c r="AL15" s="53">
        <f t="shared" si="10"/>
        <v>0</v>
      </c>
      <c r="AM15" s="53">
        <f t="shared" si="11"/>
        <v>0</v>
      </c>
      <c r="AN15" s="53">
        <f t="shared" si="12"/>
        <v>0</v>
      </c>
      <c r="AO15" s="53">
        <f t="shared" si="13"/>
        <v>0</v>
      </c>
      <c r="AP15" s="53">
        <f t="shared" si="14"/>
        <v>0</v>
      </c>
      <c r="AQ15" s="53">
        <f t="shared" si="15"/>
        <v>0</v>
      </c>
      <c r="AR15" s="53">
        <f t="shared" si="16"/>
        <v>0</v>
      </c>
      <c r="AS15" s="53">
        <f t="shared" si="17"/>
        <v>0</v>
      </c>
    </row>
    <row r="16" spans="1:45">
      <c r="A16" s="53">
        <v>36</v>
      </c>
      <c r="B16" s="53"/>
      <c r="C16" s="53"/>
      <c r="D16" s="55"/>
      <c r="E16" s="55"/>
      <c r="F16" s="55"/>
      <c r="G16" s="55"/>
      <c r="H16" s="53"/>
      <c r="I16" s="53"/>
      <c r="J16" s="53"/>
      <c r="K16" s="53"/>
      <c r="L16" s="53"/>
      <c r="M16" s="53"/>
      <c r="N16" s="53"/>
      <c r="O16" s="53"/>
      <c r="P16" s="53"/>
      <c r="Q16" s="53"/>
      <c r="R16" s="53"/>
      <c r="S16" s="53"/>
      <c r="T16" s="53"/>
      <c r="U16" s="53"/>
      <c r="V16" s="53"/>
      <c r="W16" s="53"/>
      <c r="X16" s="53"/>
      <c r="Y16" s="53">
        <f t="shared" si="0"/>
        <v>0</v>
      </c>
      <c r="Z16" s="53">
        <f t="shared" si="1"/>
        <v>0</v>
      </c>
      <c r="AA16" s="53">
        <f t="shared" si="2"/>
        <v>0</v>
      </c>
      <c r="AB16" s="53" t="s">
        <v>115</v>
      </c>
      <c r="AC16" s="53" t="s">
        <v>148</v>
      </c>
      <c r="AD16" s="53"/>
      <c r="AE16" s="53">
        <f t="shared" si="3"/>
        <v>0</v>
      </c>
      <c r="AF16" s="53">
        <f t="shared" si="4"/>
        <v>0</v>
      </c>
      <c r="AG16" s="53">
        <f t="shared" si="5"/>
        <v>0</v>
      </c>
      <c r="AH16" s="53">
        <f t="shared" si="6"/>
        <v>0</v>
      </c>
      <c r="AI16" s="53">
        <f t="shared" si="7"/>
        <v>0</v>
      </c>
      <c r="AJ16" s="53">
        <f t="shared" si="8"/>
        <v>0</v>
      </c>
      <c r="AK16" s="53">
        <f t="shared" si="9"/>
        <v>0</v>
      </c>
      <c r="AL16" s="53">
        <f t="shared" si="10"/>
        <v>0</v>
      </c>
      <c r="AM16" s="53">
        <f t="shared" si="11"/>
        <v>0</v>
      </c>
      <c r="AN16" s="53">
        <f t="shared" si="12"/>
        <v>0</v>
      </c>
      <c r="AO16" s="53">
        <f t="shared" si="13"/>
        <v>0</v>
      </c>
      <c r="AP16" s="53">
        <f t="shared" si="14"/>
        <v>0</v>
      </c>
      <c r="AQ16" s="53">
        <f t="shared" si="15"/>
        <v>0</v>
      </c>
      <c r="AR16" s="53">
        <f t="shared" si="16"/>
        <v>0</v>
      </c>
      <c r="AS16" s="53">
        <f t="shared" si="17"/>
        <v>0</v>
      </c>
    </row>
    <row r="17" spans="1:45">
      <c r="A17" s="53">
        <v>36</v>
      </c>
      <c r="B17" s="53"/>
      <c r="C17" s="53"/>
      <c r="D17" s="55"/>
      <c r="E17" s="55"/>
      <c r="F17" s="55"/>
      <c r="G17" s="55"/>
      <c r="H17" s="53"/>
      <c r="I17" s="53"/>
      <c r="J17" s="53"/>
      <c r="K17" s="53"/>
      <c r="L17" s="53"/>
      <c r="M17" s="53"/>
      <c r="N17" s="53"/>
      <c r="O17" s="53"/>
      <c r="P17" s="53"/>
      <c r="Q17" s="53"/>
      <c r="R17" s="53"/>
      <c r="S17" s="53"/>
      <c r="T17" s="53"/>
      <c r="U17" s="53"/>
      <c r="V17" s="53"/>
      <c r="W17" s="53"/>
      <c r="X17" s="53"/>
      <c r="Y17" s="53">
        <f t="shared" si="0"/>
        <v>0</v>
      </c>
      <c r="Z17" s="53">
        <f t="shared" si="1"/>
        <v>0</v>
      </c>
      <c r="AA17" s="53">
        <f t="shared" si="2"/>
        <v>0</v>
      </c>
      <c r="AB17" s="53" t="s">
        <v>115</v>
      </c>
      <c r="AC17" s="53" t="s">
        <v>149</v>
      </c>
      <c r="AD17" s="53"/>
      <c r="AE17" s="53">
        <f t="shared" si="3"/>
        <v>0</v>
      </c>
      <c r="AF17" s="53">
        <f t="shared" si="4"/>
        <v>0</v>
      </c>
      <c r="AG17" s="53">
        <f t="shared" si="5"/>
        <v>0</v>
      </c>
      <c r="AH17" s="53">
        <f t="shared" si="6"/>
        <v>0</v>
      </c>
      <c r="AI17" s="53">
        <f t="shared" si="7"/>
        <v>0</v>
      </c>
      <c r="AJ17" s="53">
        <f t="shared" si="8"/>
        <v>0</v>
      </c>
      <c r="AK17" s="53">
        <f t="shared" si="9"/>
        <v>0</v>
      </c>
      <c r="AL17" s="53">
        <f t="shared" si="10"/>
        <v>0</v>
      </c>
      <c r="AM17" s="53">
        <f t="shared" si="11"/>
        <v>0</v>
      </c>
      <c r="AN17" s="53">
        <f t="shared" si="12"/>
        <v>0</v>
      </c>
      <c r="AO17" s="53">
        <f t="shared" si="13"/>
        <v>0</v>
      </c>
      <c r="AP17" s="53">
        <f t="shared" si="14"/>
        <v>0</v>
      </c>
      <c r="AQ17" s="53">
        <f t="shared" si="15"/>
        <v>0</v>
      </c>
      <c r="AR17" s="53">
        <f t="shared" si="16"/>
        <v>0</v>
      </c>
      <c r="AS17" s="53">
        <f t="shared" si="17"/>
        <v>0</v>
      </c>
    </row>
    <row r="18" spans="1:45">
      <c r="A18" s="53">
        <v>36</v>
      </c>
      <c r="B18" s="53"/>
      <c r="C18" s="53"/>
      <c r="D18" s="55"/>
      <c r="E18" s="55"/>
      <c r="F18" s="55"/>
      <c r="G18" s="55"/>
      <c r="H18" s="53"/>
      <c r="I18" s="53"/>
      <c r="J18" s="53"/>
      <c r="K18" s="53"/>
      <c r="L18" s="53"/>
      <c r="M18" s="53"/>
      <c r="N18" s="53"/>
      <c r="O18" s="53"/>
      <c r="P18" s="53"/>
      <c r="Q18" s="53"/>
      <c r="R18" s="53"/>
      <c r="S18" s="53"/>
      <c r="T18" s="53"/>
      <c r="U18" s="53"/>
      <c r="V18" s="53"/>
      <c r="W18" s="53"/>
      <c r="X18" s="53"/>
      <c r="Y18" s="53">
        <f t="shared" si="0"/>
        <v>0</v>
      </c>
      <c r="Z18" s="53">
        <f t="shared" si="1"/>
        <v>0</v>
      </c>
      <c r="AA18" s="53">
        <f t="shared" si="2"/>
        <v>0</v>
      </c>
      <c r="AB18" s="53" t="s">
        <v>115</v>
      </c>
      <c r="AC18" s="53" t="s">
        <v>150</v>
      </c>
      <c r="AD18" s="53"/>
      <c r="AE18" s="53">
        <f t="shared" si="3"/>
        <v>0</v>
      </c>
      <c r="AF18" s="53">
        <f t="shared" si="4"/>
        <v>0</v>
      </c>
      <c r="AG18" s="53">
        <f t="shared" si="5"/>
        <v>0</v>
      </c>
      <c r="AH18" s="53">
        <f t="shared" si="6"/>
        <v>0</v>
      </c>
      <c r="AI18" s="53">
        <f t="shared" si="7"/>
        <v>0</v>
      </c>
      <c r="AJ18" s="53">
        <f t="shared" si="8"/>
        <v>0</v>
      </c>
      <c r="AK18" s="53">
        <f t="shared" si="9"/>
        <v>0</v>
      </c>
      <c r="AL18" s="53">
        <f t="shared" si="10"/>
        <v>0</v>
      </c>
      <c r="AM18" s="53">
        <f t="shared" si="11"/>
        <v>0</v>
      </c>
      <c r="AN18" s="53">
        <f t="shared" si="12"/>
        <v>0</v>
      </c>
      <c r="AO18" s="53">
        <f t="shared" si="13"/>
        <v>0</v>
      </c>
      <c r="AP18" s="53">
        <f t="shared" si="14"/>
        <v>0</v>
      </c>
      <c r="AQ18" s="53">
        <f t="shared" si="15"/>
        <v>0</v>
      </c>
      <c r="AR18" s="53">
        <f t="shared" si="16"/>
        <v>0</v>
      </c>
      <c r="AS18" s="53">
        <f t="shared" si="17"/>
        <v>0</v>
      </c>
    </row>
    <row r="19" spans="1:45">
      <c r="A19" s="53">
        <v>36</v>
      </c>
      <c r="B19" s="53"/>
      <c r="C19" s="53"/>
      <c r="D19" s="55"/>
      <c r="E19" s="55"/>
      <c r="F19" s="55"/>
      <c r="G19" s="55"/>
      <c r="H19" s="53"/>
      <c r="I19" s="53"/>
      <c r="J19" s="53"/>
      <c r="K19" s="53"/>
      <c r="L19" s="53"/>
      <c r="M19" s="53"/>
      <c r="N19" s="53"/>
      <c r="O19" s="53"/>
      <c r="P19" s="53"/>
      <c r="Q19" s="53"/>
      <c r="R19" s="53"/>
      <c r="S19" s="53"/>
      <c r="T19" s="53"/>
      <c r="U19" s="53"/>
      <c r="V19" s="53"/>
      <c r="W19" s="53"/>
      <c r="X19" s="53"/>
      <c r="Y19" s="53">
        <f t="shared" si="0"/>
        <v>0</v>
      </c>
      <c r="Z19" s="53">
        <f t="shared" si="1"/>
        <v>0</v>
      </c>
      <c r="AA19" s="53">
        <f t="shared" si="2"/>
        <v>0</v>
      </c>
      <c r="AB19" s="53" t="s">
        <v>115</v>
      </c>
      <c r="AC19" s="53" t="s">
        <v>151</v>
      </c>
      <c r="AD19" s="53"/>
      <c r="AE19" s="53">
        <f t="shared" si="3"/>
        <v>0</v>
      </c>
      <c r="AF19" s="53">
        <f t="shared" si="4"/>
        <v>0</v>
      </c>
      <c r="AG19" s="53">
        <f t="shared" si="5"/>
        <v>0</v>
      </c>
      <c r="AH19" s="53">
        <f t="shared" si="6"/>
        <v>0</v>
      </c>
      <c r="AI19" s="53">
        <f t="shared" si="7"/>
        <v>0</v>
      </c>
      <c r="AJ19" s="53">
        <f t="shared" si="8"/>
        <v>0</v>
      </c>
      <c r="AK19" s="53">
        <f t="shared" si="9"/>
        <v>0</v>
      </c>
      <c r="AL19" s="53">
        <f t="shared" si="10"/>
        <v>0</v>
      </c>
      <c r="AM19" s="53">
        <f t="shared" si="11"/>
        <v>0</v>
      </c>
      <c r="AN19" s="53">
        <f t="shared" si="12"/>
        <v>0</v>
      </c>
      <c r="AO19" s="53">
        <f t="shared" si="13"/>
        <v>0</v>
      </c>
      <c r="AP19" s="53">
        <f t="shared" si="14"/>
        <v>0</v>
      </c>
      <c r="AQ19" s="53">
        <f t="shared" si="15"/>
        <v>0</v>
      </c>
      <c r="AR19" s="53">
        <f t="shared" si="16"/>
        <v>0</v>
      </c>
      <c r="AS19" s="53">
        <f t="shared" si="17"/>
        <v>0</v>
      </c>
    </row>
    <row r="20" spans="1:45">
      <c r="A20" s="53">
        <v>36</v>
      </c>
      <c r="B20" s="53"/>
      <c r="C20" s="53"/>
      <c r="D20" s="55"/>
      <c r="E20" s="55"/>
      <c r="F20" s="55"/>
      <c r="G20" s="55"/>
      <c r="H20" s="53"/>
      <c r="I20" s="53"/>
      <c r="J20" s="53"/>
      <c r="K20" s="53"/>
      <c r="L20" s="53"/>
      <c r="M20" s="53"/>
      <c r="N20" s="53"/>
      <c r="O20" s="53"/>
      <c r="P20" s="53"/>
      <c r="Q20" s="53"/>
      <c r="R20" s="53"/>
      <c r="S20" s="53"/>
      <c r="T20" s="53"/>
      <c r="U20" s="53"/>
      <c r="V20" s="53"/>
      <c r="W20" s="53"/>
      <c r="X20" s="53"/>
      <c r="Y20" s="53">
        <f t="shared" si="0"/>
        <v>0</v>
      </c>
      <c r="Z20" s="53">
        <f t="shared" si="1"/>
        <v>0</v>
      </c>
      <c r="AA20" s="53">
        <f t="shared" si="2"/>
        <v>0</v>
      </c>
      <c r="AB20" s="53" t="s">
        <v>115</v>
      </c>
      <c r="AC20" s="53" t="s">
        <v>152</v>
      </c>
      <c r="AD20" s="53"/>
      <c r="AE20" s="53">
        <f t="shared" si="3"/>
        <v>0</v>
      </c>
      <c r="AF20" s="53">
        <f t="shared" si="4"/>
        <v>0</v>
      </c>
      <c r="AG20" s="53">
        <f t="shared" si="5"/>
        <v>0</v>
      </c>
      <c r="AH20" s="53">
        <f t="shared" si="6"/>
        <v>0</v>
      </c>
      <c r="AI20" s="53">
        <f t="shared" si="7"/>
        <v>0</v>
      </c>
      <c r="AJ20" s="53">
        <f t="shared" si="8"/>
        <v>0</v>
      </c>
      <c r="AK20" s="53">
        <f t="shared" si="9"/>
        <v>0</v>
      </c>
      <c r="AL20" s="53">
        <f t="shared" si="10"/>
        <v>0</v>
      </c>
      <c r="AM20" s="53">
        <f t="shared" si="11"/>
        <v>0</v>
      </c>
      <c r="AN20" s="53">
        <f t="shared" si="12"/>
        <v>0</v>
      </c>
      <c r="AO20" s="53">
        <f t="shared" si="13"/>
        <v>0</v>
      </c>
      <c r="AP20" s="53">
        <f t="shared" si="14"/>
        <v>0</v>
      </c>
      <c r="AQ20" s="53">
        <f t="shared" si="15"/>
        <v>0</v>
      </c>
      <c r="AR20" s="53">
        <f t="shared" si="16"/>
        <v>0</v>
      </c>
      <c r="AS20" s="53">
        <f t="shared" si="17"/>
        <v>0</v>
      </c>
    </row>
    <row r="21" spans="1:45">
      <c r="A21" s="53">
        <v>36</v>
      </c>
      <c r="B21" s="53"/>
      <c r="C21" s="53"/>
      <c r="D21" s="55"/>
      <c r="E21" s="55"/>
      <c r="F21" s="55"/>
      <c r="G21" s="55"/>
      <c r="H21" s="53"/>
      <c r="I21" s="53"/>
      <c r="J21" s="53"/>
      <c r="K21" s="53"/>
      <c r="L21" s="53"/>
      <c r="M21" s="53"/>
      <c r="N21" s="53"/>
      <c r="O21" s="53"/>
      <c r="P21" s="53"/>
      <c r="Q21" s="53"/>
      <c r="R21" s="53"/>
      <c r="S21" s="53"/>
      <c r="T21" s="53"/>
      <c r="U21" s="53"/>
      <c r="V21" s="53"/>
      <c r="W21" s="53"/>
      <c r="X21" s="53"/>
      <c r="Y21" s="53">
        <f t="shared" si="0"/>
        <v>0</v>
      </c>
      <c r="Z21" s="53">
        <f t="shared" si="1"/>
        <v>0</v>
      </c>
      <c r="AA21" s="53">
        <f t="shared" si="2"/>
        <v>0</v>
      </c>
      <c r="AB21" s="53" t="s">
        <v>115</v>
      </c>
      <c r="AC21" s="53" t="s">
        <v>153</v>
      </c>
      <c r="AD21" s="53"/>
      <c r="AE21" s="53">
        <f t="shared" si="3"/>
        <v>0</v>
      </c>
      <c r="AF21" s="53">
        <f t="shared" si="4"/>
        <v>0</v>
      </c>
      <c r="AG21" s="53">
        <f t="shared" si="5"/>
        <v>0</v>
      </c>
      <c r="AH21" s="53">
        <f t="shared" si="6"/>
        <v>0</v>
      </c>
      <c r="AI21" s="53">
        <f t="shared" si="7"/>
        <v>0</v>
      </c>
      <c r="AJ21" s="53">
        <f t="shared" si="8"/>
        <v>0</v>
      </c>
      <c r="AK21" s="53">
        <f t="shared" si="9"/>
        <v>0</v>
      </c>
      <c r="AL21" s="53">
        <f t="shared" si="10"/>
        <v>0</v>
      </c>
      <c r="AM21" s="53">
        <f t="shared" si="11"/>
        <v>0</v>
      </c>
      <c r="AN21" s="53">
        <f t="shared" si="12"/>
        <v>0</v>
      </c>
      <c r="AO21" s="53">
        <f t="shared" si="13"/>
        <v>0</v>
      </c>
      <c r="AP21" s="53">
        <f t="shared" si="14"/>
        <v>0</v>
      </c>
      <c r="AQ21" s="53">
        <f t="shared" si="15"/>
        <v>0</v>
      </c>
      <c r="AR21" s="53">
        <f t="shared" si="16"/>
        <v>0</v>
      </c>
      <c r="AS21" s="53">
        <f t="shared" si="17"/>
        <v>0</v>
      </c>
    </row>
    <row r="22" spans="1:45">
      <c r="A22" s="53">
        <v>36</v>
      </c>
      <c r="B22" s="53"/>
      <c r="C22" s="53"/>
      <c r="D22" s="55"/>
      <c r="E22" s="55"/>
      <c r="F22" s="55"/>
      <c r="G22" s="55"/>
      <c r="H22" s="53"/>
      <c r="I22" s="53"/>
      <c r="J22" s="53"/>
      <c r="K22" s="53"/>
      <c r="L22" s="53"/>
      <c r="M22" s="53"/>
      <c r="N22" s="53"/>
      <c r="O22" s="53"/>
      <c r="P22" s="53"/>
      <c r="Q22" s="53"/>
      <c r="R22" s="53"/>
      <c r="S22" s="53"/>
      <c r="T22" s="53"/>
      <c r="U22" s="53"/>
      <c r="V22" s="53"/>
      <c r="W22" s="53"/>
      <c r="X22" s="53"/>
      <c r="Y22" s="53">
        <f t="shared" si="0"/>
        <v>0</v>
      </c>
      <c r="Z22" s="53">
        <f t="shared" si="1"/>
        <v>0</v>
      </c>
      <c r="AA22" s="53">
        <f t="shared" si="2"/>
        <v>0</v>
      </c>
      <c r="AB22" s="53" t="s">
        <v>115</v>
      </c>
      <c r="AC22" s="53" t="s">
        <v>154</v>
      </c>
      <c r="AD22" s="53"/>
      <c r="AE22" s="53">
        <f t="shared" si="3"/>
        <v>0</v>
      </c>
      <c r="AF22" s="53">
        <f t="shared" si="4"/>
        <v>0</v>
      </c>
      <c r="AG22" s="53">
        <f t="shared" si="5"/>
        <v>0</v>
      </c>
      <c r="AH22" s="53">
        <f t="shared" si="6"/>
        <v>0</v>
      </c>
      <c r="AI22" s="53">
        <f t="shared" si="7"/>
        <v>0</v>
      </c>
      <c r="AJ22" s="53">
        <f t="shared" si="8"/>
        <v>0</v>
      </c>
      <c r="AK22" s="53">
        <f t="shared" si="9"/>
        <v>0</v>
      </c>
      <c r="AL22" s="53">
        <f t="shared" si="10"/>
        <v>0</v>
      </c>
      <c r="AM22" s="53">
        <f t="shared" si="11"/>
        <v>0</v>
      </c>
      <c r="AN22" s="53">
        <f t="shared" si="12"/>
        <v>0</v>
      </c>
      <c r="AO22" s="53">
        <f t="shared" si="13"/>
        <v>0</v>
      </c>
      <c r="AP22" s="53">
        <f t="shared" si="14"/>
        <v>0</v>
      </c>
      <c r="AQ22" s="53">
        <f t="shared" si="15"/>
        <v>0</v>
      </c>
      <c r="AR22" s="53">
        <f t="shared" si="16"/>
        <v>0</v>
      </c>
      <c r="AS22" s="53">
        <f t="shared" si="17"/>
        <v>0</v>
      </c>
    </row>
    <row r="23" spans="1:45">
      <c r="A23" s="53">
        <v>36</v>
      </c>
      <c r="B23" s="53"/>
      <c r="C23" s="53"/>
      <c r="D23" s="55"/>
      <c r="E23" s="55"/>
      <c r="F23" s="55"/>
      <c r="G23" s="55"/>
      <c r="H23" s="53"/>
      <c r="I23" s="53"/>
      <c r="J23" s="53"/>
      <c r="K23" s="53"/>
      <c r="L23" s="53"/>
      <c r="M23" s="53"/>
      <c r="N23" s="53"/>
      <c r="O23" s="53"/>
      <c r="P23" s="53"/>
      <c r="Q23" s="53"/>
      <c r="R23" s="53"/>
      <c r="S23" s="53"/>
      <c r="T23" s="53"/>
      <c r="U23" s="53"/>
      <c r="V23" s="53"/>
      <c r="W23" s="53"/>
      <c r="X23" s="53"/>
      <c r="Y23" s="53">
        <f t="shared" si="0"/>
        <v>0</v>
      </c>
      <c r="Z23" s="53">
        <f t="shared" si="1"/>
        <v>0</v>
      </c>
      <c r="AA23" s="53">
        <f t="shared" si="2"/>
        <v>0</v>
      </c>
      <c r="AB23" s="53" t="s">
        <v>115</v>
      </c>
      <c r="AC23" s="53" t="s">
        <v>155</v>
      </c>
      <c r="AD23" s="53"/>
      <c r="AE23" s="53">
        <f t="shared" si="3"/>
        <v>0</v>
      </c>
      <c r="AF23" s="53">
        <f t="shared" si="4"/>
        <v>0</v>
      </c>
      <c r="AG23" s="53">
        <f t="shared" si="5"/>
        <v>0</v>
      </c>
      <c r="AH23" s="53">
        <f t="shared" si="6"/>
        <v>0</v>
      </c>
      <c r="AI23" s="53">
        <f t="shared" si="7"/>
        <v>0</v>
      </c>
      <c r="AJ23" s="53">
        <f t="shared" si="8"/>
        <v>0</v>
      </c>
      <c r="AK23" s="53">
        <f t="shared" si="9"/>
        <v>0</v>
      </c>
      <c r="AL23" s="53">
        <f t="shared" si="10"/>
        <v>0</v>
      </c>
      <c r="AM23" s="53">
        <f t="shared" si="11"/>
        <v>0</v>
      </c>
      <c r="AN23" s="53">
        <f t="shared" si="12"/>
        <v>0</v>
      </c>
      <c r="AO23" s="53">
        <f t="shared" si="13"/>
        <v>0</v>
      </c>
      <c r="AP23" s="53">
        <f t="shared" si="14"/>
        <v>0</v>
      </c>
      <c r="AQ23" s="53">
        <f t="shared" si="15"/>
        <v>0</v>
      </c>
      <c r="AR23" s="53">
        <f t="shared" si="16"/>
        <v>0</v>
      </c>
      <c r="AS23" s="53">
        <f t="shared" si="17"/>
        <v>0</v>
      </c>
    </row>
    <row r="24" spans="1:45">
      <c r="A24" s="53">
        <v>36</v>
      </c>
      <c r="B24" s="53"/>
      <c r="C24" s="53"/>
      <c r="D24" s="55"/>
      <c r="E24" s="55"/>
      <c r="F24" s="55"/>
      <c r="G24" s="55"/>
      <c r="H24" s="53"/>
      <c r="I24" s="53"/>
      <c r="J24" s="53"/>
      <c r="K24" s="53"/>
      <c r="L24" s="53"/>
      <c r="M24" s="53"/>
      <c r="N24" s="53"/>
      <c r="O24" s="53"/>
      <c r="P24" s="53"/>
      <c r="Q24" s="53"/>
      <c r="R24" s="53"/>
      <c r="S24" s="53"/>
      <c r="T24" s="53"/>
      <c r="U24" s="53"/>
      <c r="V24" s="53"/>
      <c r="W24" s="53"/>
      <c r="X24" s="53"/>
      <c r="Y24" s="53">
        <f t="shared" si="0"/>
        <v>0</v>
      </c>
      <c r="Z24" s="53">
        <f t="shared" si="1"/>
        <v>0</v>
      </c>
      <c r="AA24" s="53">
        <f t="shared" si="2"/>
        <v>0</v>
      </c>
      <c r="AB24" s="53" t="s">
        <v>115</v>
      </c>
      <c r="AC24" s="53" t="s">
        <v>156</v>
      </c>
      <c r="AD24" s="53"/>
      <c r="AE24" s="53">
        <f t="shared" si="3"/>
        <v>0</v>
      </c>
      <c r="AF24" s="53">
        <f t="shared" si="4"/>
        <v>0</v>
      </c>
      <c r="AG24" s="53">
        <f t="shared" si="5"/>
        <v>0</v>
      </c>
      <c r="AH24" s="53">
        <f t="shared" si="6"/>
        <v>0</v>
      </c>
      <c r="AI24" s="53">
        <f t="shared" si="7"/>
        <v>0</v>
      </c>
      <c r="AJ24" s="53">
        <f t="shared" si="8"/>
        <v>0</v>
      </c>
      <c r="AK24" s="53">
        <f t="shared" si="9"/>
        <v>0</v>
      </c>
      <c r="AL24" s="53">
        <f t="shared" si="10"/>
        <v>0</v>
      </c>
      <c r="AM24" s="53">
        <f t="shared" si="11"/>
        <v>0</v>
      </c>
      <c r="AN24" s="53">
        <f t="shared" si="12"/>
        <v>0</v>
      </c>
      <c r="AO24" s="53">
        <f t="shared" si="13"/>
        <v>0</v>
      </c>
      <c r="AP24" s="53">
        <f t="shared" si="14"/>
        <v>0</v>
      </c>
      <c r="AQ24" s="53">
        <f t="shared" si="15"/>
        <v>0</v>
      </c>
      <c r="AR24" s="53">
        <f t="shared" si="16"/>
        <v>0</v>
      </c>
      <c r="AS24" s="53">
        <f t="shared" si="17"/>
        <v>0</v>
      </c>
    </row>
    <row r="25" spans="1:45">
      <c r="A25" s="53">
        <v>36</v>
      </c>
      <c r="B25" s="53"/>
      <c r="C25" s="53"/>
      <c r="D25" s="55"/>
      <c r="E25" s="55"/>
      <c r="F25" s="55"/>
      <c r="G25" s="55"/>
      <c r="H25" s="53"/>
      <c r="I25" s="53"/>
      <c r="J25" s="53"/>
      <c r="K25" s="53"/>
      <c r="L25" s="53"/>
      <c r="M25" s="53"/>
      <c r="N25" s="53"/>
      <c r="O25" s="53"/>
      <c r="P25" s="53"/>
      <c r="Q25" s="53"/>
      <c r="R25" s="53"/>
      <c r="S25" s="53"/>
      <c r="T25" s="53"/>
      <c r="U25" s="53"/>
      <c r="V25" s="53"/>
      <c r="W25" s="53"/>
      <c r="X25" s="53"/>
      <c r="Y25" s="53">
        <f t="shared" si="0"/>
        <v>0</v>
      </c>
      <c r="Z25" s="53">
        <f t="shared" si="1"/>
        <v>0</v>
      </c>
      <c r="AA25" s="53">
        <f t="shared" si="2"/>
        <v>0</v>
      </c>
      <c r="AB25" s="53" t="s">
        <v>115</v>
      </c>
      <c r="AC25" s="53" t="s">
        <v>157</v>
      </c>
      <c r="AD25" s="53"/>
      <c r="AE25" s="53">
        <f t="shared" si="3"/>
        <v>0</v>
      </c>
      <c r="AF25" s="53">
        <f t="shared" si="4"/>
        <v>0</v>
      </c>
      <c r="AG25" s="53">
        <f t="shared" si="5"/>
        <v>0</v>
      </c>
      <c r="AH25" s="53">
        <f t="shared" si="6"/>
        <v>0</v>
      </c>
      <c r="AI25" s="53">
        <f t="shared" si="7"/>
        <v>0</v>
      </c>
      <c r="AJ25" s="53">
        <f t="shared" si="8"/>
        <v>0</v>
      </c>
      <c r="AK25" s="53">
        <f t="shared" si="9"/>
        <v>0</v>
      </c>
      <c r="AL25" s="53">
        <f t="shared" si="10"/>
        <v>0</v>
      </c>
      <c r="AM25" s="53">
        <f t="shared" si="11"/>
        <v>0</v>
      </c>
      <c r="AN25" s="53">
        <f t="shared" si="12"/>
        <v>0</v>
      </c>
      <c r="AO25" s="53">
        <f t="shared" si="13"/>
        <v>0</v>
      </c>
      <c r="AP25" s="53">
        <f t="shared" si="14"/>
        <v>0</v>
      </c>
      <c r="AQ25" s="53">
        <f t="shared" si="15"/>
        <v>0</v>
      </c>
      <c r="AR25" s="53">
        <f t="shared" si="16"/>
        <v>0</v>
      </c>
      <c r="AS25" s="53">
        <f t="shared" si="17"/>
        <v>0</v>
      </c>
    </row>
    <row r="26" spans="1:45">
      <c r="A26" s="53">
        <v>36</v>
      </c>
      <c r="B26" s="53"/>
      <c r="C26" s="53"/>
      <c r="D26" s="55"/>
      <c r="E26" s="55"/>
      <c r="F26" s="55"/>
      <c r="G26" s="55"/>
      <c r="H26" s="53"/>
      <c r="I26" s="53"/>
      <c r="J26" s="53"/>
      <c r="K26" s="53"/>
      <c r="L26" s="53"/>
      <c r="M26" s="53"/>
      <c r="N26" s="53"/>
      <c r="O26" s="53"/>
      <c r="P26" s="53"/>
      <c r="Q26" s="53"/>
      <c r="R26" s="53"/>
      <c r="S26" s="53"/>
      <c r="T26" s="53"/>
      <c r="U26" s="53"/>
      <c r="V26" s="53"/>
      <c r="W26" s="53"/>
      <c r="X26" s="53"/>
      <c r="Y26" s="53">
        <f t="shared" si="0"/>
        <v>0</v>
      </c>
      <c r="Z26" s="53">
        <f t="shared" si="1"/>
        <v>0</v>
      </c>
      <c r="AA26" s="53">
        <f t="shared" si="2"/>
        <v>0</v>
      </c>
      <c r="AB26" s="53" t="s">
        <v>115</v>
      </c>
      <c r="AC26" s="53" t="s">
        <v>158</v>
      </c>
      <c r="AD26" s="53"/>
      <c r="AE26" s="53">
        <f t="shared" si="3"/>
        <v>0</v>
      </c>
      <c r="AF26" s="53">
        <f t="shared" si="4"/>
        <v>0</v>
      </c>
      <c r="AG26" s="53">
        <f t="shared" si="5"/>
        <v>0</v>
      </c>
      <c r="AH26" s="53">
        <f t="shared" si="6"/>
        <v>0</v>
      </c>
      <c r="AI26" s="53">
        <f t="shared" si="7"/>
        <v>0</v>
      </c>
      <c r="AJ26" s="53">
        <f t="shared" si="8"/>
        <v>0</v>
      </c>
      <c r="AK26" s="53">
        <f t="shared" si="9"/>
        <v>0</v>
      </c>
      <c r="AL26" s="53">
        <f t="shared" si="10"/>
        <v>0</v>
      </c>
      <c r="AM26" s="53">
        <f t="shared" si="11"/>
        <v>0</v>
      </c>
      <c r="AN26" s="53">
        <f t="shared" si="12"/>
        <v>0</v>
      </c>
      <c r="AO26" s="53">
        <f t="shared" si="13"/>
        <v>0</v>
      </c>
      <c r="AP26" s="53">
        <f t="shared" si="14"/>
        <v>0</v>
      </c>
      <c r="AQ26" s="53">
        <f t="shared" si="15"/>
        <v>0</v>
      </c>
      <c r="AR26" s="53">
        <f t="shared" si="16"/>
        <v>0</v>
      </c>
      <c r="AS26" s="53">
        <f t="shared" si="17"/>
        <v>0</v>
      </c>
    </row>
    <row r="27" spans="1:45">
      <c r="A27" s="53">
        <v>36</v>
      </c>
      <c r="B27" s="53"/>
      <c r="C27" s="53"/>
      <c r="D27" s="55"/>
      <c r="E27" s="55"/>
      <c r="F27" s="55"/>
      <c r="G27" s="55"/>
      <c r="H27" s="53"/>
      <c r="I27" s="53"/>
      <c r="J27" s="53"/>
      <c r="K27" s="53"/>
      <c r="L27" s="53"/>
      <c r="M27" s="53"/>
      <c r="N27" s="53"/>
      <c r="O27" s="53"/>
      <c r="P27" s="53"/>
      <c r="Q27" s="53"/>
      <c r="R27" s="53"/>
      <c r="S27" s="53"/>
      <c r="T27" s="53"/>
      <c r="U27" s="53"/>
      <c r="V27" s="53"/>
      <c r="W27" s="53"/>
      <c r="X27" s="53"/>
      <c r="Y27" s="53">
        <f t="shared" si="0"/>
        <v>0</v>
      </c>
      <c r="Z27" s="53">
        <f t="shared" si="1"/>
        <v>0</v>
      </c>
      <c r="AA27" s="53">
        <f t="shared" si="2"/>
        <v>0</v>
      </c>
      <c r="AB27" s="53" t="s">
        <v>115</v>
      </c>
      <c r="AC27" s="53" t="s">
        <v>159</v>
      </c>
      <c r="AD27" s="53"/>
      <c r="AE27" s="53">
        <f t="shared" si="3"/>
        <v>0</v>
      </c>
      <c r="AF27" s="53">
        <f t="shared" si="4"/>
        <v>0</v>
      </c>
      <c r="AG27" s="53">
        <f t="shared" si="5"/>
        <v>0</v>
      </c>
      <c r="AH27" s="53">
        <f t="shared" si="6"/>
        <v>0</v>
      </c>
      <c r="AI27" s="53">
        <f t="shared" si="7"/>
        <v>0</v>
      </c>
      <c r="AJ27" s="53">
        <f t="shared" si="8"/>
        <v>0</v>
      </c>
      <c r="AK27" s="53">
        <f t="shared" si="9"/>
        <v>0</v>
      </c>
      <c r="AL27" s="53">
        <f t="shared" si="10"/>
        <v>0</v>
      </c>
      <c r="AM27" s="53">
        <f t="shared" si="11"/>
        <v>0</v>
      </c>
      <c r="AN27" s="53">
        <f t="shared" si="12"/>
        <v>0</v>
      </c>
      <c r="AO27" s="53">
        <f t="shared" si="13"/>
        <v>0</v>
      </c>
      <c r="AP27" s="53">
        <f t="shared" si="14"/>
        <v>0</v>
      </c>
      <c r="AQ27" s="53">
        <f t="shared" si="15"/>
        <v>0</v>
      </c>
      <c r="AR27" s="53">
        <f t="shared" si="16"/>
        <v>0</v>
      </c>
      <c r="AS27" s="53">
        <f t="shared" si="17"/>
        <v>0</v>
      </c>
    </row>
    <row r="28" spans="1:45">
      <c r="A28" s="53">
        <v>36</v>
      </c>
      <c r="B28" s="53"/>
      <c r="C28" s="53"/>
      <c r="D28" s="55"/>
      <c r="E28" s="55"/>
      <c r="F28" s="55"/>
      <c r="G28" s="55"/>
      <c r="H28" s="53"/>
      <c r="I28" s="53"/>
      <c r="J28" s="53"/>
      <c r="K28" s="53"/>
      <c r="L28" s="53"/>
      <c r="M28" s="53"/>
      <c r="N28" s="53"/>
      <c r="O28" s="53"/>
      <c r="P28" s="53"/>
      <c r="Q28" s="53"/>
      <c r="R28" s="53"/>
      <c r="S28" s="53"/>
      <c r="T28" s="53"/>
      <c r="U28" s="53"/>
      <c r="V28" s="53"/>
      <c r="W28" s="53"/>
      <c r="X28" s="53"/>
      <c r="Y28" s="53">
        <f t="shared" si="0"/>
        <v>0</v>
      </c>
      <c r="Z28" s="53">
        <f t="shared" si="1"/>
        <v>0</v>
      </c>
      <c r="AA28" s="53">
        <f t="shared" si="2"/>
        <v>0</v>
      </c>
      <c r="AB28" s="53" t="s">
        <v>115</v>
      </c>
      <c r="AC28" s="53" t="s">
        <v>160</v>
      </c>
      <c r="AD28" s="53"/>
      <c r="AE28" s="53">
        <f t="shared" si="3"/>
        <v>0</v>
      </c>
      <c r="AF28" s="53">
        <f t="shared" si="4"/>
        <v>0</v>
      </c>
      <c r="AG28" s="53">
        <f t="shared" si="5"/>
        <v>0</v>
      </c>
      <c r="AH28" s="53">
        <f t="shared" si="6"/>
        <v>0</v>
      </c>
      <c r="AI28" s="53">
        <f t="shared" si="7"/>
        <v>0</v>
      </c>
      <c r="AJ28" s="53">
        <f t="shared" si="8"/>
        <v>0</v>
      </c>
      <c r="AK28" s="53">
        <f t="shared" si="9"/>
        <v>0</v>
      </c>
      <c r="AL28" s="53">
        <f t="shared" si="10"/>
        <v>0</v>
      </c>
      <c r="AM28" s="53">
        <f t="shared" si="11"/>
        <v>0</v>
      </c>
      <c r="AN28" s="53">
        <f t="shared" si="12"/>
        <v>0</v>
      </c>
      <c r="AO28" s="53">
        <f t="shared" si="13"/>
        <v>0</v>
      </c>
      <c r="AP28" s="53">
        <f t="shared" si="14"/>
        <v>0</v>
      </c>
      <c r="AQ28" s="53">
        <f t="shared" si="15"/>
        <v>0</v>
      </c>
      <c r="AR28" s="53">
        <f t="shared" si="16"/>
        <v>0</v>
      </c>
      <c r="AS28" s="53">
        <f t="shared" si="17"/>
        <v>0</v>
      </c>
    </row>
    <row r="29" spans="1:45">
      <c r="A29" s="53">
        <v>36</v>
      </c>
      <c r="B29" s="53"/>
      <c r="C29" s="53"/>
      <c r="D29" s="55"/>
      <c r="E29" s="55"/>
      <c r="F29" s="55"/>
      <c r="G29" s="55"/>
      <c r="H29" s="53"/>
      <c r="I29" s="53"/>
      <c r="J29" s="53"/>
      <c r="K29" s="53"/>
      <c r="L29" s="53"/>
      <c r="M29" s="53"/>
      <c r="N29" s="53"/>
      <c r="O29" s="53"/>
      <c r="P29" s="53"/>
      <c r="Q29" s="53"/>
      <c r="R29" s="53"/>
      <c r="S29" s="53"/>
      <c r="T29" s="53"/>
      <c r="U29" s="53"/>
      <c r="V29" s="53"/>
      <c r="W29" s="53"/>
      <c r="X29" s="53"/>
      <c r="Y29" s="53">
        <f t="shared" si="0"/>
        <v>0</v>
      </c>
      <c r="Z29" s="53">
        <f t="shared" si="1"/>
        <v>0</v>
      </c>
      <c r="AA29" s="53">
        <f t="shared" si="2"/>
        <v>0</v>
      </c>
      <c r="AB29" s="53" t="s">
        <v>115</v>
      </c>
      <c r="AC29" s="53" t="s">
        <v>161</v>
      </c>
      <c r="AD29" s="53"/>
      <c r="AE29" s="53">
        <f t="shared" si="3"/>
        <v>0</v>
      </c>
      <c r="AF29" s="53">
        <f t="shared" si="4"/>
        <v>0</v>
      </c>
      <c r="AG29" s="53">
        <f t="shared" si="5"/>
        <v>0</v>
      </c>
      <c r="AH29" s="53">
        <f t="shared" si="6"/>
        <v>0</v>
      </c>
      <c r="AI29" s="53">
        <f t="shared" si="7"/>
        <v>0</v>
      </c>
      <c r="AJ29" s="53">
        <f t="shared" si="8"/>
        <v>0</v>
      </c>
      <c r="AK29" s="53">
        <f t="shared" si="9"/>
        <v>0</v>
      </c>
      <c r="AL29" s="53">
        <f t="shared" si="10"/>
        <v>0</v>
      </c>
      <c r="AM29" s="53">
        <f t="shared" si="11"/>
        <v>0</v>
      </c>
      <c r="AN29" s="53">
        <f t="shared" si="12"/>
        <v>0</v>
      </c>
      <c r="AO29" s="53">
        <f t="shared" si="13"/>
        <v>0</v>
      </c>
      <c r="AP29" s="53">
        <f t="shared" si="14"/>
        <v>0</v>
      </c>
      <c r="AQ29" s="53">
        <f t="shared" si="15"/>
        <v>0</v>
      </c>
      <c r="AR29" s="53">
        <f t="shared" si="16"/>
        <v>0</v>
      </c>
      <c r="AS29" s="53">
        <f t="shared" si="17"/>
        <v>0</v>
      </c>
    </row>
    <row r="30" spans="1:45">
      <c r="A30" s="53">
        <v>36</v>
      </c>
      <c r="B30" s="53"/>
      <c r="C30" s="53"/>
      <c r="D30" s="55"/>
      <c r="E30" s="55"/>
      <c r="F30" s="55"/>
      <c r="G30" s="55"/>
      <c r="H30" s="53"/>
      <c r="I30" s="53"/>
      <c r="J30" s="53"/>
      <c r="K30" s="53"/>
      <c r="L30" s="53"/>
      <c r="M30" s="53"/>
      <c r="N30" s="53"/>
      <c r="O30" s="53"/>
      <c r="P30" s="53"/>
      <c r="Q30" s="53"/>
      <c r="R30" s="53"/>
      <c r="S30" s="53"/>
      <c r="T30" s="53"/>
      <c r="U30" s="53"/>
      <c r="V30" s="53"/>
      <c r="W30" s="53"/>
      <c r="X30" s="53"/>
      <c r="Y30" s="53">
        <f t="shared" si="0"/>
        <v>0</v>
      </c>
      <c r="Z30" s="53">
        <f t="shared" si="1"/>
        <v>0</v>
      </c>
      <c r="AA30" s="53">
        <f t="shared" si="2"/>
        <v>0</v>
      </c>
      <c r="AB30" s="53" t="s">
        <v>115</v>
      </c>
      <c r="AC30" s="53" t="s">
        <v>162</v>
      </c>
      <c r="AD30" s="53"/>
      <c r="AE30" s="53">
        <f t="shared" si="3"/>
        <v>0</v>
      </c>
      <c r="AF30" s="53">
        <f t="shared" si="4"/>
        <v>0</v>
      </c>
      <c r="AG30" s="53">
        <f t="shared" si="5"/>
        <v>0</v>
      </c>
      <c r="AH30" s="53">
        <f t="shared" si="6"/>
        <v>0</v>
      </c>
      <c r="AI30" s="53">
        <f t="shared" si="7"/>
        <v>0</v>
      </c>
      <c r="AJ30" s="53">
        <f t="shared" si="8"/>
        <v>0</v>
      </c>
      <c r="AK30" s="53">
        <f t="shared" si="9"/>
        <v>0</v>
      </c>
      <c r="AL30" s="53">
        <f t="shared" si="10"/>
        <v>0</v>
      </c>
      <c r="AM30" s="53">
        <f t="shared" si="11"/>
        <v>0</v>
      </c>
      <c r="AN30" s="53">
        <f t="shared" si="12"/>
        <v>0</v>
      </c>
      <c r="AO30" s="53">
        <f t="shared" si="13"/>
        <v>0</v>
      </c>
      <c r="AP30" s="53">
        <f t="shared" si="14"/>
        <v>0</v>
      </c>
      <c r="AQ30" s="53">
        <f t="shared" si="15"/>
        <v>0</v>
      </c>
      <c r="AR30" s="53">
        <f t="shared" si="16"/>
        <v>0</v>
      </c>
      <c r="AS30" s="53">
        <f t="shared" si="17"/>
        <v>0</v>
      </c>
    </row>
    <row r="31" spans="1:45">
      <c r="A31" s="53">
        <v>36</v>
      </c>
      <c r="B31" s="53"/>
      <c r="C31" s="53"/>
      <c r="D31" s="55"/>
      <c r="E31" s="55"/>
      <c r="F31" s="55"/>
      <c r="G31" s="55"/>
      <c r="H31" s="53"/>
      <c r="I31" s="53"/>
      <c r="J31" s="53"/>
      <c r="K31" s="53"/>
      <c r="L31" s="53"/>
      <c r="M31" s="53"/>
      <c r="N31" s="53"/>
      <c r="O31" s="53"/>
      <c r="P31" s="53"/>
      <c r="Q31" s="53"/>
      <c r="R31" s="53"/>
      <c r="S31" s="53"/>
      <c r="T31" s="53"/>
      <c r="U31" s="53"/>
      <c r="V31" s="53"/>
      <c r="W31" s="53"/>
      <c r="X31" s="53"/>
      <c r="Y31" s="53">
        <f t="shared" si="0"/>
        <v>0</v>
      </c>
      <c r="Z31" s="53">
        <f t="shared" si="1"/>
        <v>0</v>
      </c>
      <c r="AA31" s="53">
        <f t="shared" si="2"/>
        <v>0</v>
      </c>
      <c r="AB31" s="53" t="s">
        <v>115</v>
      </c>
      <c r="AC31" s="53" t="s">
        <v>163</v>
      </c>
      <c r="AD31" s="53"/>
      <c r="AE31" s="53">
        <f t="shared" si="3"/>
        <v>0</v>
      </c>
      <c r="AF31" s="53">
        <f t="shared" si="4"/>
        <v>0</v>
      </c>
      <c r="AG31" s="53">
        <f t="shared" si="5"/>
        <v>0</v>
      </c>
      <c r="AH31" s="53">
        <f t="shared" si="6"/>
        <v>0</v>
      </c>
      <c r="AI31" s="53">
        <f t="shared" si="7"/>
        <v>0</v>
      </c>
      <c r="AJ31" s="53">
        <f t="shared" si="8"/>
        <v>0</v>
      </c>
      <c r="AK31" s="53">
        <f t="shared" si="9"/>
        <v>0</v>
      </c>
      <c r="AL31" s="53">
        <f t="shared" si="10"/>
        <v>0</v>
      </c>
      <c r="AM31" s="53">
        <f t="shared" si="11"/>
        <v>0</v>
      </c>
      <c r="AN31" s="53">
        <f t="shared" si="12"/>
        <v>0</v>
      </c>
      <c r="AO31" s="53">
        <f t="shared" si="13"/>
        <v>0</v>
      </c>
      <c r="AP31" s="53">
        <f t="shared" si="14"/>
        <v>0</v>
      </c>
      <c r="AQ31" s="53">
        <f t="shared" si="15"/>
        <v>0</v>
      </c>
      <c r="AR31" s="53">
        <f t="shared" si="16"/>
        <v>0</v>
      </c>
      <c r="AS31" s="53">
        <f t="shared" si="17"/>
        <v>0</v>
      </c>
    </row>
    <row r="32" spans="1:45">
      <c r="A32" s="53">
        <v>36</v>
      </c>
      <c r="B32" s="53"/>
      <c r="C32" s="53"/>
      <c r="D32" s="55"/>
      <c r="E32" s="55"/>
      <c r="F32" s="55"/>
      <c r="G32" s="55"/>
      <c r="H32" s="53"/>
      <c r="I32" s="53"/>
      <c r="J32" s="53"/>
      <c r="K32" s="53"/>
      <c r="L32" s="53"/>
      <c r="M32" s="53"/>
      <c r="N32" s="53"/>
      <c r="O32" s="53"/>
      <c r="P32" s="53"/>
      <c r="Q32" s="53"/>
      <c r="R32" s="53"/>
      <c r="S32" s="53"/>
      <c r="T32" s="53"/>
      <c r="U32" s="53"/>
      <c r="V32" s="53"/>
      <c r="W32" s="53"/>
      <c r="X32" s="53"/>
      <c r="Y32" s="53">
        <f t="shared" si="0"/>
        <v>0</v>
      </c>
      <c r="Z32" s="53">
        <f t="shared" si="1"/>
        <v>0</v>
      </c>
      <c r="AA32" s="53">
        <f t="shared" si="2"/>
        <v>0</v>
      </c>
      <c r="AB32" s="53" t="s">
        <v>115</v>
      </c>
      <c r="AC32" s="53" t="s">
        <v>164</v>
      </c>
      <c r="AD32" s="53"/>
      <c r="AE32" s="53">
        <f t="shared" si="3"/>
        <v>0</v>
      </c>
      <c r="AF32" s="53">
        <f t="shared" si="4"/>
        <v>0</v>
      </c>
      <c r="AG32" s="53">
        <f t="shared" si="5"/>
        <v>0</v>
      </c>
      <c r="AH32" s="53">
        <f t="shared" si="6"/>
        <v>0</v>
      </c>
      <c r="AI32" s="53">
        <f t="shared" si="7"/>
        <v>0</v>
      </c>
      <c r="AJ32" s="53">
        <f t="shared" si="8"/>
        <v>0</v>
      </c>
      <c r="AK32" s="53">
        <f t="shared" si="9"/>
        <v>0</v>
      </c>
      <c r="AL32" s="53">
        <f t="shared" si="10"/>
        <v>0</v>
      </c>
      <c r="AM32" s="53">
        <f t="shared" si="11"/>
        <v>0</v>
      </c>
      <c r="AN32" s="53">
        <f t="shared" si="12"/>
        <v>0</v>
      </c>
      <c r="AO32" s="53">
        <f t="shared" si="13"/>
        <v>0</v>
      </c>
      <c r="AP32" s="53">
        <f t="shared" si="14"/>
        <v>0</v>
      </c>
      <c r="AQ32" s="53">
        <f t="shared" si="15"/>
        <v>0</v>
      </c>
      <c r="AR32" s="53">
        <f t="shared" si="16"/>
        <v>0</v>
      </c>
      <c r="AS32" s="53">
        <f t="shared" si="17"/>
        <v>0</v>
      </c>
    </row>
    <row r="33" spans="1:45">
      <c r="A33" s="53">
        <v>36</v>
      </c>
      <c r="B33" s="53"/>
      <c r="C33" s="53"/>
      <c r="D33" s="55"/>
      <c r="E33" s="55"/>
      <c r="F33" s="55"/>
      <c r="G33" s="55"/>
      <c r="H33" s="53"/>
      <c r="I33" s="53"/>
      <c r="J33" s="53"/>
      <c r="K33" s="53"/>
      <c r="L33" s="53"/>
      <c r="M33" s="53"/>
      <c r="N33" s="53"/>
      <c r="O33" s="53"/>
      <c r="P33" s="53"/>
      <c r="Q33" s="53"/>
      <c r="R33" s="53"/>
      <c r="S33" s="53"/>
      <c r="T33" s="53"/>
      <c r="U33" s="53"/>
      <c r="V33" s="53"/>
      <c r="W33" s="53"/>
      <c r="X33" s="53"/>
      <c r="Y33" s="53">
        <f t="shared" si="0"/>
        <v>0</v>
      </c>
      <c r="Z33" s="53">
        <f t="shared" si="1"/>
        <v>0</v>
      </c>
      <c r="AA33" s="53">
        <f t="shared" si="2"/>
        <v>0</v>
      </c>
      <c r="AB33" s="53" t="s">
        <v>115</v>
      </c>
      <c r="AC33" s="53" t="s">
        <v>165</v>
      </c>
      <c r="AD33" s="53"/>
      <c r="AE33" s="53">
        <f t="shared" si="3"/>
        <v>0</v>
      </c>
      <c r="AF33" s="53">
        <f t="shared" si="4"/>
        <v>0</v>
      </c>
      <c r="AG33" s="53">
        <f t="shared" si="5"/>
        <v>0</v>
      </c>
      <c r="AH33" s="53">
        <f t="shared" si="6"/>
        <v>0</v>
      </c>
      <c r="AI33" s="53">
        <f t="shared" si="7"/>
        <v>0</v>
      </c>
      <c r="AJ33" s="53">
        <f t="shared" si="8"/>
        <v>0</v>
      </c>
      <c r="AK33" s="53">
        <f t="shared" si="9"/>
        <v>0</v>
      </c>
      <c r="AL33" s="53">
        <f t="shared" si="10"/>
        <v>0</v>
      </c>
      <c r="AM33" s="53">
        <f t="shared" si="11"/>
        <v>0</v>
      </c>
      <c r="AN33" s="53">
        <f t="shared" si="12"/>
        <v>0</v>
      </c>
      <c r="AO33" s="53">
        <f t="shared" si="13"/>
        <v>0</v>
      </c>
      <c r="AP33" s="53">
        <f t="shared" si="14"/>
        <v>0</v>
      </c>
      <c r="AQ33" s="53">
        <f t="shared" si="15"/>
        <v>0</v>
      </c>
      <c r="AR33" s="53">
        <f t="shared" si="16"/>
        <v>0</v>
      </c>
      <c r="AS33" s="53">
        <f t="shared" si="17"/>
        <v>0</v>
      </c>
    </row>
    <row r="34" spans="1:45">
      <c r="A34" s="53">
        <v>36</v>
      </c>
      <c r="B34" s="53"/>
      <c r="C34" s="53"/>
      <c r="D34" s="55"/>
      <c r="E34" s="55"/>
      <c r="F34" s="55"/>
      <c r="G34" s="55"/>
      <c r="H34" s="53"/>
      <c r="I34" s="53"/>
      <c r="J34" s="53"/>
      <c r="K34" s="53"/>
      <c r="L34" s="53"/>
      <c r="M34" s="53"/>
      <c r="N34" s="53"/>
      <c r="O34" s="53"/>
      <c r="P34" s="53"/>
      <c r="Q34" s="53"/>
      <c r="R34" s="53"/>
      <c r="S34" s="53"/>
      <c r="T34" s="53"/>
      <c r="U34" s="53"/>
      <c r="V34" s="53"/>
      <c r="W34" s="53"/>
      <c r="X34" s="53"/>
      <c r="Y34" s="53">
        <f t="shared" si="0"/>
        <v>0</v>
      </c>
      <c r="Z34" s="53">
        <f t="shared" si="1"/>
        <v>0</v>
      </c>
      <c r="AA34" s="53">
        <f t="shared" si="2"/>
        <v>0</v>
      </c>
      <c r="AB34" s="53" t="s">
        <v>115</v>
      </c>
      <c r="AC34" s="53" t="s">
        <v>166</v>
      </c>
      <c r="AD34" s="53"/>
      <c r="AE34" s="53">
        <f t="shared" si="3"/>
        <v>0</v>
      </c>
      <c r="AF34" s="53">
        <f t="shared" si="4"/>
        <v>0</v>
      </c>
      <c r="AG34" s="53">
        <f t="shared" si="5"/>
        <v>0</v>
      </c>
      <c r="AH34" s="53">
        <f t="shared" si="6"/>
        <v>0</v>
      </c>
      <c r="AI34" s="53">
        <f t="shared" si="7"/>
        <v>0</v>
      </c>
      <c r="AJ34" s="53">
        <f t="shared" si="8"/>
        <v>0</v>
      </c>
      <c r="AK34" s="53">
        <f t="shared" si="9"/>
        <v>0</v>
      </c>
      <c r="AL34" s="53">
        <f t="shared" si="10"/>
        <v>0</v>
      </c>
      <c r="AM34" s="53">
        <f t="shared" si="11"/>
        <v>0</v>
      </c>
      <c r="AN34" s="53">
        <f t="shared" si="12"/>
        <v>0</v>
      </c>
      <c r="AO34" s="53">
        <f t="shared" si="13"/>
        <v>0</v>
      </c>
      <c r="AP34" s="53">
        <f t="shared" si="14"/>
        <v>0</v>
      </c>
      <c r="AQ34" s="53">
        <f t="shared" si="15"/>
        <v>0</v>
      </c>
      <c r="AR34" s="53">
        <f t="shared" si="16"/>
        <v>0</v>
      </c>
      <c r="AS34" s="53">
        <f t="shared" si="17"/>
        <v>0</v>
      </c>
    </row>
    <row r="35" spans="1:45">
      <c r="A35" s="53">
        <v>36</v>
      </c>
      <c r="B35" s="53"/>
      <c r="C35" s="53"/>
      <c r="D35" s="55"/>
      <c r="E35" s="55"/>
      <c r="F35" s="55"/>
      <c r="G35" s="55"/>
      <c r="H35" s="53"/>
      <c r="I35" s="53"/>
      <c r="J35" s="53"/>
      <c r="K35" s="53"/>
      <c r="L35" s="53"/>
      <c r="M35" s="53"/>
      <c r="N35" s="53"/>
      <c r="O35" s="53"/>
      <c r="P35" s="53"/>
      <c r="Q35" s="53"/>
      <c r="R35" s="53"/>
      <c r="S35" s="53"/>
      <c r="T35" s="53"/>
      <c r="U35" s="53"/>
      <c r="V35" s="53"/>
      <c r="W35" s="53"/>
      <c r="X35" s="53"/>
      <c r="Y35" s="53">
        <f t="shared" si="0"/>
        <v>0</v>
      </c>
      <c r="Z35" s="53">
        <f t="shared" si="1"/>
        <v>0</v>
      </c>
      <c r="AA35" s="53">
        <f t="shared" si="2"/>
        <v>0</v>
      </c>
      <c r="AB35" s="53" t="s">
        <v>115</v>
      </c>
      <c r="AC35" s="53" t="s">
        <v>167</v>
      </c>
      <c r="AD35" s="53"/>
      <c r="AE35" s="53">
        <f t="shared" si="3"/>
        <v>0</v>
      </c>
      <c r="AF35" s="53">
        <f t="shared" si="4"/>
        <v>0</v>
      </c>
      <c r="AG35" s="53">
        <f t="shared" si="5"/>
        <v>0</v>
      </c>
      <c r="AH35" s="53">
        <f t="shared" si="6"/>
        <v>0</v>
      </c>
      <c r="AI35" s="53">
        <f t="shared" si="7"/>
        <v>0</v>
      </c>
      <c r="AJ35" s="53">
        <f t="shared" si="8"/>
        <v>0</v>
      </c>
      <c r="AK35" s="53">
        <f t="shared" si="9"/>
        <v>0</v>
      </c>
      <c r="AL35" s="53">
        <f t="shared" si="10"/>
        <v>0</v>
      </c>
      <c r="AM35" s="53">
        <f t="shared" si="11"/>
        <v>0</v>
      </c>
      <c r="AN35" s="53">
        <f t="shared" si="12"/>
        <v>0</v>
      </c>
      <c r="AO35" s="53">
        <f t="shared" si="13"/>
        <v>0</v>
      </c>
      <c r="AP35" s="53">
        <f t="shared" si="14"/>
        <v>0</v>
      </c>
      <c r="AQ35" s="53">
        <f t="shared" si="15"/>
        <v>0</v>
      </c>
      <c r="AR35" s="53">
        <f t="shared" si="16"/>
        <v>0</v>
      </c>
      <c r="AS35" s="53">
        <f t="shared" si="17"/>
        <v>0</v>
      </c>
    </row>
    <row r="36" spans="1:45">
      <c r="A36" s="53">
        <v>36</v>
      </c>
      <c r="B36" s="53"/>
      <c r="C36" s="53"/>
      <c r="D36" s="55"/>
      <c r="E36" s="55"/>
      <c r="F36" s="55"/>
      <c r="G36" s="55"/>
      <c r="H36" s="53"/>
      <c r="I36" s="53"/>
      <c r="J36" s="53"/>
      <c r="K36" s="53"/>
      <c r="L36" s="53"/>
      <c r="M36" s="53"/>
      <c r="N36" s="53"/>
      <c r="O36" s="53"/>
      <c r="P36" s="53"/>
      <c r="Q36" s="53"/>
      <c r="R36" s="53"/>
      <c r="S36" s="53"/>
      <c r="T36" s="53"/>
      <c r="U36" s="53"/>
      <c r="V36" s="53"/>
      <c r="W36" s="53"/>
      <c r="X36" s="53"/>
      <c r="Y36" s="53">
        <f t="shared" si="0"/>
        <v>0</v>
      </c>
      <c r="Z36" s="53">
        <f t="shared" si="1"/>
        <v>0</v>
      </c>
      <c r="AA36" s="53">
        <f t="shared" si="2"/>
        <v>0</v>
      </c>
      <c r="AB36" s="53" t="s">
        <v>115</v>
      </c>
      <c r="AC36" s="53" t="s">
        <v>168</v>
      </c>
      <c r="AD36" s="53"/>
      <c r="AE36" s="53">
        <f t="shared" si="3"/>
        <v>0</v>
      </c>
      <c r="AF36" s="53">
        <f t="shared" si="4"/>
        <v>0</v>
      </c>
      <c r="AG36" s="53">
        <f t="shared" si="5"/>
        <v>0</v>
      </c>
      <c r="AH36" s="53">
        <f t="shared" si="6"/>
        <v>0</v>
      </c>
      <c r="AI36" s="53">
        <f t="shared" si="7"/>
        <v>0</v>
      </c>
      <c r="AJ36" s="53">
        <f t="shared" si="8"/>
        <v>0</v>
      </c>
      <c r="AK36" s="53">
        <f t="shared" si="9"/>
        <v>0</v>
      </c>
      <c r="AL36" s="53">
        <f t="shared" si="10"/>
        <v>0</v>
      </c>
      <c r="AM36" s="53">
        <f t="shared" si="11"/>
        <v>0</v>
      </c>
      <c r="AN36" s="53">
        <f t="shared" si="12"/>
        <v>0</v>
      </c>
      <c r="AO36" s="53">
        <f t="shared" si="13"/>
        <v>0</v>
      </c>
      <c r="AP36" s="53">
        <f t="shared" si="14"/>
        <v>0</v>
      </c>
      <c r="AQ36" s="53">
        <f t="shared" si="15"/>
        <v>0</v>
      </c>
      <c r="AR36" s="53">
        <f t="shared" si="16"/>
        <v>0</v>
      </c>
      <c r="AS36" s="53">
        <f t="shared" si="17"/>
        <v>0</v>
      </c>
    </row>
    <row r="37" spans="1:45">
      <c r="A37" s="53">
        <v>36</v>
      </c>
      <c r="B37" s="53"/>
      <c r="C37" s="53"/>
      <c r="D37" s="55"/>
      <c r="E37" s="55"/>
      <c r="F37" s="55"/>
      <c r="G37" s="55"/>
      <c r="H37" s="53"/>
      <c r="I37" s="53"/>
      <c r="J37" s="53"/>
      <c r="K37" s="53"/>
      <c r="L37" s="53"/>
      <c r="M37" s="53"/>
      <c r="N37" s="53"/>
      <c r="O37" s="53"/>
      <c r="P37" s="53"/>
      <c r="Q37" s="53"/>
      <c r="R37" s="53"/>
      <c r="S37" s="53"/>
      <c r="T37" s="53"/>
      <c r="U37" s="53"/>
      <c r="V37" s="53"/>
      <c r="W37" s="53"/>
      <c r="X37" s="53"/>
      <c r="Y37" s="53">
        <f t="shared" si="0"/>
        <v>0</v>
      </c>
      <c r="Z37" s="53">
        <f t="shared" si="1"/>
        <v>0</v>
      </c>
      <c r="AA37" s="53">
        <f t="shared" si="2"/>
        <v>0</v>
      </c>
      <c r="AB37" s="53" t="s">
        <v>115</v>
      </c>
      <c r="AC37" s="53" t="s">
        <v>169</v>
      </c>
      <c r="AD37" s="53"/>
      <c r="AE37" s="53">
        <f t="shared" si="3"/>
        <v>0</v>
      </c>
      <c r="AF37" s="53">
        <f t="shared" si="4"/>
        <v>0</v>
      </c>
      <c r="AG37" s="53">
        <f t="shared" si="5"/>
        <v>0</v>
      </c>
      <c r="AH37" s="53">
        <f t="shared" si="6"/>
        <v>0</v>
      </c>
      <c r="AI37" s="53">
        <f t="shared" si="7"/>
        <v>0</v>
      </c>
      <c r="AJ37" s="53">
        <f t="shared" si="8"/>
        <v>0</v>
      </c>
      <c r="AK37" s="53">
        <f t="shared" si="9"/>
        <v>0</v>
      </c>
      <c r="AL37" s="53">
        <f t="shared" si="10"/>
        <v>0</v>
      </c>
      <c r="AM37" s="53">
        <f t="shared" si="11"/>
        <v>0</v>
      </c>
      <c r="AN37" s="53">
        <f t="shared" si="12"/>
        <v>0</v>
      </c>
      <c r="AO37" s="53">
        <f t="shared" si="13"/>
        <v>0</v>
      </c>
      <c r="AP37" s="53">
        <f t="shared" si="14"/>
        <v>0</v>
      </c>
      <c r="AQ37" s="53">
        <f t="shared" si="15"/>
        <v>0</v>
      </c>
      <c r="AR37" s="53">
        <f t="shared" si="16"/>
        <v>0</v>
      </c>
      <c r="AS37" s="53">
        <f t="shared" si="17"/>
        <v>0</v>
      </c>
    </row>
    <row r="38" spans="1:45">
      <c r="A38" s="53">
        <v>36</v>
      </c>
      <c r="B38" s="53"/>
      <c r="C38" s="53"/>
      <c r="D38" s="55"/>
      <c r="E38" s="55"/>
      <c r="F38" s="55"/>
      <c r="G38" s="55"/>
      <c r="H38" s="53"/>
      <c r="I38" s="53"/>
      <c r="J38" s="53"/>
      <c r="K38" s="53"/>
      <c r="L38" s="53"/>
      <c r="M38" s="53"/>
      <c r="N38" s="53"/>
      <c r="O38" s="53"/>
      <c r="P38" s="53"/>
      <c r="Q38" s="53"/>
      <c r="R38" s="53"/>
      <c r="S38" s="53"/>
      <c r="T38" s="53"/>
      <c r="U38" s="53"/>
      <c r="V38" s="53"/>
      <c r="W38" s="53"/>
      <c r="X38" s="53"/>
      <c r="Y38" s="53">
        <f t="shared" si="0"/>
        <v>0</v>
      </c>
      <c r="Z38" s="53">
        <f t="shared" si="1"/>
        <v>0</v>
      </c>
      <c r="AA38" s="53">
        <f t="shared" si="2"/>
        <v>0</v>
      </c>
      <c r="AB38" s="53" t="s">
        <v>115</v>
      </c>
      <c r="AC38" s="53" t="s">
        <v>170</v>
      </c>
      <c r="AD38" s="53"/>
      <c r="AE38" s="53">
        <f t="shared" si="3"/>
        <v>0</v>
      </c>
      <c r="AF38" s="53">
        <f t="shared" si="4"/>
        <v>0</v>
      </c>
      <c r="AG38" s="53">
        <f t="shared" si="5"/>
        <v>0</v>
      </c>
      <c r="AH38" s="53">
        <f t="shared" si="6"/>
        <v>0</v>
      </c>
      <c r="AI38" s="53">
        <f t="shared" si="7"/>
        <v>0</v>
      </c>
      <c r="AJ38" s="53">
        <f t="shared" si="8"/>
        <v>0</v>
      </c>
      <c r="AK38" s="53">
        <f t="shared" si="9"/>
        <v>0</v>
      </c>
      <c r="AL38" s="53">
        <f t="shared" si="10"/>
        <v>0</v>
      </c>
      <c r="AM38" s="53">
        <f t="shared" si="11"/>
        <v>0</v>
      </c>
      <c r="AN38" s="53">
        <f t="shared" si="12"/>
        <v>0</v>
      </c>
      <c r="AO38" s="53">
        <f t="shared" si="13"/>
        <v>0</v>
      </c>
      <c r="AP38" s="53">
        <f t="shared" si="14"/>
        <v>0</v>
      </c>
      <c r="AQ38" s="53">
        <f t="shared" si="15"/>
        <v>0</v>
      </c>
      <c r="AR38" s="53">
        <f t="shared" si="16"/>
        <v>0</v>
      </c>
      <c r="AS38" s="53">
        <f t="shared" si="17"/>
        <v>0</v>
      </c>
    </row>
    <row r="39" spans="1:45">
      <c r="A39" s="53">
        <v>36</v>
      </c>
      <c r="B39" s="53"/>
      <c r="C39" s="53"/>
      <c r="D39" s="55"/>
      <c r="E39" s="55"/>
      <c r="F39" s="55"/>
      <c r="G39" s="55"/>
      <c r="H39" s="53"/>
      <c r="I39" s="53"/>
      <c r="J39" s="53"/>
      <c r="K39" s="53"/>
      <c r="L39" s="53"/>
      <c r="M39" s="53"/>
      <c r="N39" s="53"/>
      <c r="O39" s="53"/>
      <c r="P39" s="53"/>
      <c r="Q39" s="53"/>
      <c r="R39" s="53"/>
      <c r="S39" s="53"/>
      <c r="T39" s="53"/>
      <c r="U39" s="53"/>
      <c r="V39" s="53"/>
      <c r="W39" s="53"/>
      <c r="X39" s="53"/>
      <c r="Y39" s="53">
        <f t="shared" si="0"/>
        <v>0</v>
      </c>
      <c r="Z39" s="53">
        <f t="shared" si="1"/>
        <v>0</v>
      </c>
      <c r="AA39" s="53">
        <f t="shared" si="2"/>
        <v>0</v>
      </c>
      <c r="AB39" s="53" t="s">
        <v>115</v>
      </c>
      <c r="AC39" s="53" t="s">
        <v>171</v>
      </c>
      <c r="AD39" s="53"/>
      <c r="AE39" s="53">
        <f t="shared" si="3"/>
        <v>0</v>
      </c>
      <c r="AF39" s="53">
        <f t="shared" si="4"/>
        <v>0</v>
      </c>
      <c r="AG39" s="53">
        <f t="shared" si="5"/>
        <v>0</v>
      </c>
      <c r="AH39" s="53">
        <f t="shared" si="6"/>
        <v>0</v>
      </c>
      <c r="AI39" s="53">
        <f t="shared" si="7"/>
        <v>0</v>
      </c>
      <c r="AJ39" s="53">
        <f t="shared" si="8"/>
        <v>0</v>
      </c>
      <c r="AK39" s="53">
        <f t="shared" si="9"/>
        <v>0</v>
      </c>
      <c r="AL39" s="53">
        <f t="shared" si="10"/>
        <v>0</v>
      </c>
      <c r="AM39" s="53">
        <f t="shared" si="11"/>
        <v>0</v>
      </c>
      <c r="AN39" s="53">
        <f t="shared" si="12"/>
        <v>0</v>
      </c>
      <c r="AO39" s="53">
        <f t="shared" si="13"/>
        <v>0</v>
      </c>
      <c r="AP39" s="53">
        <f t="shared" si="14"/>
        <v>0</v>
      </c>
      <c r="AQ39" s="53">
        <f t="shared" si="15"/>
        <v>0</v>
      </c>
      <c r="AR39" s="53">
        <f t="shared" si="16"/>
        <v>0</v>
      </c>
      <c r="AS39" s="53">
        <f t="shared" si="17"/>
        <v>0</v>
      </c>
    </row>
    <row r="40" spans="1:45">
      <c r="A40" s="53">
        <v>36</v>
      </c>
      <c r="B40" s="53"/>
      <c r="C40" s="53"/>
      <c r="D40" s="55"/>
      <c r="E40" s="55"/>
      <c r="F40" s="55"/>
      <c r="G40" s="55"/>
      <c r="H40" s="53"/>
      <c r="I40" s="53"/>
      <c r="J40" s="53"/>
      <c r="K40" s="53"/>
      <c r="L40" s="53"/>
      <c r="M40" s="53"/>
      <c r="N40" s="53"/>
      <c r="O40" s="53"/>
      <c r="P40" s="53"/>
      <c r="Q40" s="53"/>
      <c r="R40" s="53"/>
      <c r="S40" s="53"/>
      <c r="T40" s="53"/>
      <c r="U40" s="53"/>
      <c r="V40" s="53"/>
      <c r="W40" s="53"/>
      <c r="X40" s="53"/>
      <c r="Y40" s="53">
        <f t="shared" ref="Y40:Y57" si="18">IF(UPPER(TRIM($W40&amp;""))="CANCELLED",0,IFERROR(0+$M40,0))</f>
        <v>0</v>
      </c>
      <c r="Z40" s="53">
        <f t="shared" ref="Z40:Z57" si="19">IF(UPPER(TRIM($W40&amp;""))="CANCELLED",0,IFERROR((IFERROR(0+$M40,0))*IF(IFERROR(0+TRIM($N40&amp;""),0)=4,2,IF(IFERROR(0+TRIM($N40&amp;""),0)=2,1,0)),0))</f>
        <v>0</v>
      </c>
      <c r="AA40" s="53">
        <f t="shared" ref="AA40:AA57" si="20">IF(UPPER(TRIM($W40&amp;""))="CANCELLED",0,IFERROR(0+$P40,0))</f>
        <v>0</v>
      </c>
      <c r="AB40" s="53" t="s">
        <v>115</v>
      </c>
      <c r="AC40" s="53" t="s">
        <v>172</v>
      </c>
      <c r="AD40" s="53"/>
      <c r="AE40" s="53">
        <f t="shared" ref="AE40:AE57" si="21">IF(UPPER(TRIM($W40&amp;""))="CANCELLED",0,IF(UPPER(TRIM($AD40&amp;""))="EMPTY",0,IFERROR(0+$M40,0)))</f>
        <v>0</v>
      </c>
      <c r="AF40" s="53">
        <f t="shared" ref="AF40:AF57" si="22">IF(UPPER(TRIM($W40&amp;""))="CANCELLED",0,IF(UPPER(TRIM($AD40&amp;""))="EMPTY",IFERROR(0+$M40,0),0))</f>
        <v>0</v>
      </c>
      <c r="AG40" s="53">
        <f t="shared" ref="AG40:AG57" si="23">AE40+AF40</f>
        <v>0</v>
      </c>
      <c r="AH40" s="53">
        <f t="shared" ref="AH40:AH57" si="24">IF(UPPER(TRIM($W40&amp;""))="CANCELLED",0,IF(AND(NOT(UPPER(TRIM($AD40&amp;""))="EMPTY"),IFERROR(0+TRIM($N40&amp;""),0)=2),IFERROR(0+$M40,0),0))</f>
        <v>0</v>
      </c>
      <c r="AI40" s="53">
        <f t="shared" ref="AI40:AI57" si="25">IF(UPPER(TRIM($W40&amp;""))="CANCELLED",0,IF(AND(UPPER(TRIM($AD40&amp;""))="EMPTY",IFERROR(0+TRIM($N40&amp;""),0)=2),IFERROR(0+$M40,0),0))</f>
        <v>0</v>
      </c>
      <c r="AJ40" s="53">
        <f t="shared" ref="AJ40:AJ57" si="26">AH40+AI40</f>
        <v>0</v>
      </c>
      <c r="AK40" s="53">
        <f t="shared" ref="AK40:AK57" si="27">IF(UPPER(TRIM($W40&amp;""))="CANCELLED",0,IF(AND(NOT(UPPER(TRIM($AD40&amp;""))="EMPTY"),IFERROR(0+TRIM($N40&amp;""),0)=4),IFERROR(0+$M40,0),0))</f>
        <v>0</v>
      </c>
      <c r="AL40" s="53">
        <f t="shared" ref="AL40:AL57" si="28">IF(UPPER(TRIM($W40&amp;""))="CANCELLED",0,IF(AND(UPPER(TRIM($AD40&amp;""))="EMPTY",IFERROR(0+TRIM($N40&amp;""),0)=4),IFERROR(0+$M40,0),0))</f>
        <v>0</v>
      </c>
      <c r="AM40" s="53">
        <f t="shared" ref="AM40:AM57" si="29">AK40+AL40</f>
        <v>0</v>
      </c>
      <c r="AN40" s="53">
        <f t="shared" ref="AN40:AN57" si="30">IF(UPPER(TRIM($W40&amp;""))="CANCELLED",0,IF(UPPER(TRIM($AD40&amp;""))="EMPTY",0,IFERROR((IFERROR(0+$M40,0))*IF(IFERROR(0+TRIM($N40&amp;""),0)=4,2,IF(IFERROR(0+TRIM($N40&amp;""),0)=2,1,0)),0)))</f>
        <v>0</v>
      </c>
      <c r="AO40" s="53">
        <f t="shared" ref="AO40:AO57" si="31">IF(UPPER(TRIM($W40&amp;""))="CANCELLED",0,IF(UPPER(TRIM($AD40&amp;""))="EMPTY",IFERROR((IFERROR(0+$M40,0))*IF(IFERROR(0+TRIM($N40&amp;""),0)=4,2,IF(IFERROR(0+TRIM($N40&amp;""),0)=2,1,0)),0),0))</f>
        <v>0</v>
      </c>
      <c r="AP40" s="53">
        <f t="shared" ref="AP40:AP57" si="32">AN40+AO40</f>
        <v>0</v>
      </c>
      <c r="AQ40" s="53">
        <f t="shared" ref="AQ40:AQ57" si="33">IF(UPPER(TRIM($W40&amp;""))="CANCELLED",0,IF(UPPER(TRIM($AD40&amp;""))="EMPTY",0,IFERROR(0+$P40,0)))</f>
        <v>0</v>
      </c>
      <c r="AR40" s="53">
        <f t="shared" ref="AR40:AR57" si="34">IF(UPPER(TRIM($W40&amp;""))="CANCELLED",0,IF(UPPER(TRIM($AD40&amp;""))="EMPTY",IFERROR(0+$P40,0),0))</f>
        <v>0</v>
      </c>
      <c r="AS40" s="53">
        <f t="shared" ref="AS40:AS57" si="35">AQ40+AR40</f>
        <v>0</v>
      </c>
    </row>
    <row r="41" spans="1:45">
      <c r="A41" s="53">
        <v>36</v>
      </c>
      <c r="B41" s="53"/>
      <c r="C41" s="53"/>
      <c r="D41" s="55"/>
      <c r="E41" s="55"/>
      <c r="F41" s="55"/>
      <c r="G41" s="55"/>
      <c r="H41" s="53"/>
      <c r="I41" s="53"/>
      <c r="J41" s="53"/>
      <c r="K41" s="53"/>
      <c r="L41" s="53"/>
      <c r="M41" s="53"/>
      <c r="N41" s="53"/>
      <c r="O41" s="53"/>
      <c r="P41" s="53"/>
      <c r="Q41" s="53"/>
      <c r="R41" s="53"/>
      <c r="S41" s="53"/>
      <c r="T41" s="53"/>
      <c r="U41" s="53"/>
      <c r="V41" s="53"/>
      <c r="W41" s="53"/>
      <c r="X41" s="53"/>
      <c r="Y41" s="53">
        <f t="shared" si="18"/>
        <v>0</v>
      </c>
      <c r="Z41" s="53">
        <f t="shared" si="19"/>
        <v>0</v>
      </c>
      <c r="AA41" s="53">
        <f t="shared" si="20"/>
        <v>0</v>
      </c>
      <c r="AB41" s="53" t="s">
        <v>115</v>
      </c>
      <c r="AC41" s="53" t="s">
        <v>173</v>
      </c>
      <c r="AD41" s="53"/>
      <c r="AE41" s="53">
        <f t="shared" si="21"/>
        <v>0</v>
      </c>
      <c r="AF41" s="53">
        <f t="shared" si="22"/>
        <v>0</v>
      </c>
      <c r="AG41" s="53">
        <f t="shared" si="23"/>
        <v>0</v>
      </c>
      <c r="AH41" s="53">
        <f t="shared" si="24"/>
        <v>0</v>
      </c>
      <c r="AI41" s="53">
        <f t="shared" si="25"/>
        <v>0</v>
      </c>
      <c r="AJ41" s="53">
        <f t="shared" si="26"/>
        <v>0</v>
      </c>
      <c r="AK41" s="53">
        <f t="shared" si="27"/>
        <v>0</v>
      </c>
      <c r="AL41" s="53">
        <f t="shared" si="28"/>
        <v>0</v>
      </c>
      <c r="AM41" s="53">
        <f t="shared" si="29"/>
        <v>0</v>
      </c>
      <c r="AN41" s="53">
        <f t="shared" si="30"/>
        <v>0</v>
      </c>
      <c r="AO41" s="53">
        <f t="shared" si="31"/>
        <v>0</v>
      </c>
      <c r="AP41" s="53">
        <f t="shared" si="32"/>
        <v>0</v>
      </c>
      <c r="AQ41" s="53">
        <f t="shared" si="33"/>
        <v>0</v>
      </c>
      <c r="AR41" s="53">
        <f t="shared" si="34"/>
        <v>0</v>
      </c>
      <c r="AS41" s="53">
        <f t="shared" si="35"/>
        <v>0</v>
      </c>
    </row>
    <row r="42" spans="1:45">
      <c r="A42" s="53">
        <v>36</v>
      </c>
      <c r="B42" s="53"/>
      <c r="C42" s="53"/>
      <c r="D42" s="55"/>
      <c r="E42" s="55"/>
      <c r="F42" s="55"/>
      <c r="G42" s="55"/>
      <c r="H42" s="53"/>
      <c r="I42" s="53"/>
      <c r="J42" s="53"/>
      <c r="K42" s="53"/>
      <c r="L42" s="53"/>
      <c r="M42" s="53"/>
      <c r="N42" s="53"/>
      <c r="O42" s="53"/>
      <c r="P42" s="53"/>
      <c r="Q42" s="53"/>
      <c r="R42" s="53"/>
      <c r="S42" s="53"/>
      <c r="T42" s="53"/>
      <c r="U42" s="53"/>
      <c r="V42" s="53"/>
      <c r="W42" s="53"/>
      <c r="X42" s="53"/>
      <c r="Y42" s="53">
        <f t="shared" si="18"/>
        <v>0</v>
      </c>
      <c r="Z42" s="53">
        <f t="shared" si="19"/>
        <v>0</v>
      </c>
      <c r="AA42" s="53">
        <f t="shared" si="20"/>
        <v>0</v>
      </c>
      <c r="AB42" s="53" t="s">
        <v>115</v>
      </c>
      <c r="AC42" s="53" t="s">
        <v>174</v>
      </c>
      <c r="AD42" s="53"/>
      <c r="AE42" s="53">
        <f t="shared" si="21"/>
        <v>0</v>
      </c>
      <c r="AF42" s="53">
        <f t="shared" si="22"/>
        <v>0</v>
      </c>
      <c r="AG42" s="53">
        <f t="shared" si="23"/>
        <v>0</v>
      </c>
      <c r="AH42" s="53">
        <f t="shared" si="24"/>
        <v>0</v>
      </c>
      <c r="AI42" s="53">
        <f t="shared" si="25"/>
        <v>0</v>
      </c>
      <c r="AJ42" s="53">
        <f t="shared" si="26"/>
        <v>0</v>
      </c>
      <c r="AK42" s="53">
        <f t="shared" si="27"/>
        <v>0</v>
      </c>
      <c r="AL42" s="53">
        <f t="shared" si="28"/>
        <v>0</v>
      </c>
      <c r="AM42" s="53">
        <f t="shared" si="29"/>
        <v>0</v>
      </c>
      <c r="AN42" s="53">
        <f t="shared" si="30"/>
        <v>0</v>
      </c>
      <c r="AO42" s="53">
        <f t="shared" si="31"/>
        <v>0</v>
      </c>
      <c r="AP42" s="53">
        <f t="shared" si="32"/>
        <v>0</v>
      </c>
      <c r="AQ42" s="53">
        <f t="shared" si="33"/>
        <v>0</v>
      </c>
      <c r="AR42" s="53">
        <f t="shared" si="34"/>
        <v>0</v>
      </c>
      <c r="AS42" s="53">
        <f t="shared" si="35"/>
        <v>0</v>
      </c>
    </row>
    <row r="43" spans="1:45">
      <c r="A43" s="53">
        <v>36</v>
      </c>
      <c r="B43" s="53"/>
      <c r="C43" s="53"/>
      <c r="D43" s="55"/>
      <c r="E43" s="55"/>
      <c r="F43" s="55"/>
      <c r="G43" s="55"/>
      <c r="H43" s="53"/>
      <c r="I43" s="53"/>
      <c r="J43" s="53"/>
      <c r="K43" s="53"/>
      <c r="L43" s="53"/>
      <c r="M43" s="53"/>
      <c r="N43" s="53"/>
      <c r="O43" s="53"/>
      <c r="P43" s="53"/>
      <c r="Q43" s="53"/>
      <c r="R43" s="53"/>
      <c r="S43" s="53"/>
      <c r="T43" s="53"/>
      <c r="U43" s="53"/>
      <c r="V43" s="53"/>
      <c r="W43" s="53"/>
      <c r="X43" s="53"/>
      <c r="Y43" s="53">
        <f t="shared" si="18"/>
        <v>0</v>
      </c>
      <c r="Z43" s="53">
        <f t="shared" si="19"/>
        <v>0</v>
      </c>
      <c r="AA43" s="53">
        <f t="shared" si="20"/>
        <v>0</v>
      </c>
      <c r="AB43" s="53" t="s">
        <v>115</v>
      </c>
      <c r="AC43" s="53" t="s">
        <v>175</v>
      </c>
      <c r="AD43" s="53"/>
      <c r="AE43" s="53">
        <f t="shared" si="21"/>
        <v>0</v>
      </c>
      <c r="AF43" s="53">
        <f t="shared" si="22"/>
        <v>0</v>
      </c>
      <c r="AG43" s="53">
        <f t="shared" si="23"/>
        <v>0</v>
      </c>
      <c r="AH43" s="53">
        <f t="shared" si="24"/>
        <v>0</v>
      </c>
      <c r="AI43" s="53">
        <f t="shared" si="25"/>
        <v>0</v>
      </c>
      <c r="AJ43" s="53">
        <f t="shared" si="26"/>
        <v>0</v>
      </c>
      <c r="AK43" s="53">
        <f t="shared" si="27"/>
        <v>0</v>
      </c>
      <c r="AL43" s="53">
        <f t="shared" si="28"/>
        <v>0</v>
      </c>
      <c r="AM43" s="53">
        <f t="shared" si="29"/>
        <v>0</v>
      </c>
      <c r="AN43" s="53">
        <f t="shared" si="30"/>
        <v>0</v>
      </c>
      <c r="AO43" s="53">
        <f t="shared" si="31"/>
        <v>0</v>
      </c>
      <c r="AP43" s="53">
        <f t="shared" si="32"/>
        <v>0</v>
      </c>
      <c r="AQ43" s="53">
        <f t="shared" si="33"/>
        <v>0</v>
      </c>
      <c r="AR43" s="53">
        <f t="shared" si="34"/>
        <v>0</v>
      </c>
      <c r="AS43" s="53">
        <f t="shared" si="35"/>
        <v>0</v>
      </c>
    </row>
    <row r="44" spans="1:45">
      <c r="A44" s="53">
        <v>36</v>
      </c>
      <c r="B44" s="53"/>
      <c r="C44" s="53"/>
      <c r="D44" s="55"/>
      <c r="E44" s="55"/>
      <c r="F44" s="55"/>
      <c r="G44" s="55"/>
      <c r="H44" s="53"/>
      <c r="I44" s="53"/>
      <c r="J44" s="53"/>
      <c r="K44" s="53"/>
      <c r="L44" s="53"/>
      <c r="M44" s="53"/>
      <c r="N44" s="53"/>
      <c r="O44" s="53"/>
      <c r="P44" s="53"/>
      <c r="Q44" s="53"/>
      <c r="R44" s="53"/>
      <c r="S44" s="53"/>
      <c r="T44" s="53"/>
      <c r="U44" s="53"/>
      <c r="V44" s="53"/>
      <c r="W44" s="53"/>
      <c r="X44" s="53"/>
      <c r="Y44" s="53">
        <f t="shared" si="18"/>
        <v>0</v>
      </c>
      <c r="Z44" s="53">
        <f t="shared" si="19"/>
        <v>0</v>
      </c>
      <c r="AA44" s="53">
        <f t="shared" si="20"/>
        <v>0</v>
      </c>
      <c r="AB44" s="53" t="s">
        <v>115</v>
      </c>
      <c r="AC44" s="53" t="s">
        <v>176</v>
      </c>
      <c r="AD44" s="53"/>
      <c r="AE44" s="53">
        <f t="shared" si="21"/>
        <v>0</v>
      </c>
      <c r="AF44" s="53">
        <f t="shared" si="22"/>
        <v>0</v>
      </c>
      <c r="AG44" s="53">
        <f t="shared" si="23"/>
        <v>0</v>
      </c>
      <c r="AH44" s="53">
        <f t="shared" si="24"/>
        <v>0</v>
      </c>
      <c r="AI44" s="53">
        <f t="shared" si="25"/>
        <v>0</v>
      </c>
      <c r="AJ44" s="53">
        <f t="shared" si="26"/>
        <v>0</v>
      </c>
      <c r="AK44" s="53">
        <f t="shared" si="27"/>
        <v>0</v>
      </c>
      <c r="AL44" s="53">
        <f t="shared" si="28"/>
        <v>0</v>
      </c>
      <c r="AM44" s="53">
        <f t="shared" si="29"/>
        <v>0</v>
      </c>
      <c r="AN44" s="53">
        <f t="shared" si="30"/>
        <v>0</v>
      </c>
      <c r="AO44" s="53">
        <f t="shared" si="31"/>
        <v>0</v>
      </c>
      <c r="AP44" s="53">
        <f t="shared" si="32"/>
        <v>0</v>
      </c>
      <c r="AQ44" s="53">
        <f t="shared" si="33"/>
        <v>0</v>
      </c>
      <c r="AR44" s="53">
        <f t="shared" si="34"/>
        <v>0</v>
      </c>
      <c r="AS44" s="53">
        <f t="shared" si="35"/>
        <v>0</v>
      </c>
    </row>
    <row r="45" spans="1:45">
      <c r="A45" s="53">
        <v>36</v>
      </c>
      <c r="B45" s="53"/>
      <c r="C45" s="53"/>
      <c r="D45" s="55"/>
      <c r="E45" s="55"/>
      <c r="F45" s="55"/>
      <c r="G45" s="55"/>
      <c r="H45" s="53"/>
      <c r="I45" s="53"/>
      <c r="J45" s="53"/>
      <c r="K45" s="53"/>
      <c r="L45" s="53"/>
      <c r="M45" s="53"/>
      <c r="N45" s="53"/>
      <c r="O45" s="53"/>
      <c r="P45" s="53"/>
      <c r="Q45" s="53"/>
      <c r="R45" s="53"/>
      <c r="S45" s="53"/>
      <c r="T45" s="53"/>
      <c r="U45" s="53"/>
      <c r="V45" s="53"/>
      <c r="W45" s="53"/>
      <c r="X45" s="53"/>
      <c r="Y45" s="53">
        <f t="shared" si="18"/>
        <v>0</v>
      </c>
      <c r="Z45" s="53">
        <f t="shared" si="19"/>
        <v>0</v>
      </c>
      <c r="AA45" s="53">
        <f t="shared" si="20"/>
        <v>0</v>
      </c>
      <c r="AB45" s="53" t="s">
        <v>115</v>
      </c>
      <c r="AC45" s="53" t="s">
        <v>177</v>
      </c>
      <c r="AD45" s="53"/>
      <c r="AE45" s="53">
        <f t="shared" si="21"/>
        <v>0</v>
      </c>
      <c r="AF45" s="53">
        <f t="shared" si="22"/>
        <v>0</v>
      </c>
      <c r="AG45" s="53">
        <f t="shared" si="23"/>
        <v>0</v>
      </c>
      <c r="AH45" s="53">
        <f t="shared" si="24"/>
        <v>0</v>
      </c>
      <c r="AI45" s="53">
        <f t="shared" si="25"/>
        <v>0</v>
      </c>
      <c r="AJ45" s="53">
        <f t="shared" si="26"/>
        <v>0</v>
      </c>
      <c r="AK45" s="53">
        <f t="shared" si="27"/>
        <v>0</v>
      </c>
      <c r="AL45" s="53">
        <f t="shared" si="28"/>
        <v>0</v>
      </c>
      <c r="AM45" s="53">
        <f t="shared" si="29"/>
        <v>0</v>
      </c>
      <c r="AN45" s="53">
        <f t="shared" si="30"/>
        <v>0</v>
      </c>
      <c r="AO45" s="53">
        <f t="shared" si="31"/>
        <v>0</v>
      </c>
      <c r="AP45" s="53">
        <f t="shared" si="32"/>
        <v>0</v>
      </c>
      <c r="AQ45" s="53">
        <f t="shared" si="33"/>
        <v>0</v>
      </c>
      <c r="AR45" s="53">
        <f t="shared" si="34"/>
        <v>0</v>
      </c>
      <c r="AS45" s="53">
        <f t="shared" si="35"/>
        <v>0</v>
      </c>
    </row>
    <row r="46" spans="1:45">
      <c r="A46" s="53">
        <v>36</v>
      </c>
      <c r="B46" s="53"/>
      <c r="C46" s="53"/>
      <c r="D46" s="55"/>
      <c r="E46" s="55"/>
      <c r="F46" s="55"/>
      <c r="G46" s="55"/>
      <c r="H46" s="53"/>
      <c r="I46" s="53"/>
      <c r="J46" s="53"/>
      <c r="K46" s="53"/>
      <c r="L46" s="53"/>
      <c r="M46" s="53"/>
      <c r="N46" s="53"/>
      <c r="O46" s="53"/>
      <c r="P46" s="53"/>
      <c r="Q46" s="53"/>
      <c r="R46" s="53"/>
      <c r="S46" s="53"/>
      <c r="T46" s="53"/>
      <c r="U46" s="53"/>
      <c r="V46" s="53"/>
      <c r="W46" s="53"/>
      <c r="X46" s="53"/>
      <c r="Y46" s="53">
        <f t="shared" si="18"/>
        <v>0</v>
      </c>
      <c r="Z46" s="53">
        <f t="shared" si="19"/>
        <v>0</v>
      </c>
      <c r="AA46" s="53">
        <f t="shared" si="20"/>
        <v>0</v>
      </c>
      <c r="AB46" s="53" t="s">
        <v>115</v>
      </c>
      <c r="AC46" s="53" t="s">
        <v>178</v>
      </c>
      <c r="AD46" s="53"/>
      <c r="AE46" s="53">
        <f t="shared" si="21"/>
        <v>0</v>
      </c>
      <c r="AF46" s="53">
        <f t="shared" si="22"/>
        <v>0</v>
      </c>
      <c r="AG46" s="53">
        <f t="shared" si="23"/>
        <v>0</v>
      </c>
      <c r="AH46" s="53">
        <f t="shared" si="24"/>
        <v>0</v>
      </c>
      <c r="AI46" s="53">
        <f t="shared" si="25"/>
        <v>0</v>
      </c>
      <c r="AJ46" s="53">
        <f t="shared" si="26"/>
        <v>0</v>
      </c>
      <c r="AK46" s="53">
        <f t="shared" si="27"/>
        <v>0</v>
      </c>
      <c r="AL46" s="53">
        <f t="shared" si="28"/>
        <v>0</v>
      </c>
      <c r="AM46" s="53">
        <f t="shared" si="29"/>
        <v>0</v>
      </c>
      <c r="AN46" s="53">
        <f t="shared" si="30"/>
        <v>0</v>
      </c>
      <c r="AO46" s="53">
        <f t="shared" si="31"/>
        <v>0</v>
      </c>
      <c r="AP46" s="53">
        <f t="shared" si="32"/>
        <v>0</v>
      </c>
      <c r="AQ46" s="53">
        <f t="shared" si="33"/>
        <v>0</v>
      </c>
      <c r="AR46" s="53">
        <f t="shared" si="34"/>
        <v>0</v>
      </c>
      <c r="AS46" s="53">
        <f t="shared" si="35"/>
        <v>0</v>
      </c>
    </row>
    <row r="47" spans="1:45">
      <c r="A47" s="53">
        <v>36</v>
      </c>
      <c r="B47" s="53"/>
      <c r="C47" s="53"/>
      <c r="D47" s="55"/>
      <c r="E47" s="55"/>
      <c r="F47" s="55"/>
      <c r="G47" s="55"/>
      <c r="H47" s="53"/>
      <c r="I47" s="53"/>
      <c r="J47" s="53"/>
      <c r="K47" s="53"/>
      <c r="L47" s="53"/>
      <c r="M47" s="53"/>
      <c r="N47" s="53"/>
      <c r="O47" s="53"/>
      <c r="P47" s="53"/>
      <c r="Q47" s="53"/>
      <c r="R47" s="53"/>
      <c r="S47" s="53"/>
      <c r="T47" s="53"/>
      <c r="U47" s="53"/>
      <c r="V47" s="53"/>
      <c r="W47" s="53"/>
      <c r="X47" s="53"/>
      <c r="Y47" s="53">
        <f t="shared" si="18"/>
        <v>0</v>
      </c>
      <c r="Z47" s="53">
        <f t="shared" si="19"/>
        <v>0</v>
      </c>
      <c r="AA47" s="53">
        <f t="shared" si="20"/>
        <v>0</v>
      </c>
      <c r="AB47" s="53" t="s">
        <v>115</v>
      </c>
      <c r="AC47" s="53" t="s">
        <v>179</v>
      </c>
      <c r="AD47" s="53"/>
      <c r="AE47" s="53">
        <f t="shared" si="21"/>
        <v>0</v>
      </c>
      <c r="AF47" s="53">
        <f t="shared" si="22"/>
        <v>0</v>
      </c>
      <c r="AG47" s="53">
        <f t="shared" si="23"/>
        <v>0</v>
      </c>
      <c r="AH47" s="53">
        <f t="shared" si="24"/>
        <v>0</v>
      </c>
      <c r="AI47" s="53">
        <f t="shared" si="25"/>
        <v>0</v>
      </c>
      <c r="AJ47" s="53">
        <f t="shared" si="26"/>
        <v>0</v>
      </c>
      <c r="AK47" s="53">
        <f t="shared" si="27"/>
        <v>0</v>
      </c>
      <c r="AL47" s="53">
        <f t="shared" si="28"/>
        <v>0</v>
      </c>
      <c r="AM47" s="53">
        <f t="shared" si="29"/>
        <v>0</v>
      </c>
      <c r="AN47" s="53">
        <f t="shared" si="30"/>
        <v>0</v>
      </c>
      <c r="AO47" s="53">
        <f t="shared" si="31"/>
        <v>0</v>
      </c>
      <c r="AP47" s="53">
        <f t="shared" si="32"/>
        <v>0</v>
      </c>
      <c r="AQ47" s="53">
        <f t="shared" si="33"/>
        <v>0</v>
      </c>
      <c r="AR47" s="53">
        <f t="shared" si="34"/>
        <v>0</v>
      </c>
      <c r="AS47" s="53">
        <f t="shared" si="35"/>
        <v>0</v>
      </c>
    </row>
    <row r="48" spans="1:45">
      <c r="A48" s="53">
        <v>36</v>
      </c>
      <c r="B48" s="53"/>
      <c r="C48" s="53"/>
      <c r="D48" s="55"/>
      <c r="E48" s="55"/>
      <c r="F48" s="55"/>
      <c r="G48" s="55"/>
      <c r="H48" s="53"/>
      <c r="I48" s="53"/>
      <c r="J48" s="53"/>
      <c r="K48" s="53"/>
      <c r="L48" s="53"/>
      <c r="M48" s="53"/>
      <c r="N48" s="53"/>
      <c r="O48" s="53"/>
      <c r="P48" s="53"/>
      <c r="Q48" s="53"/>
      <c r="R48" s="53"/>
      <c r="S48" s="53"/>
      <c r="T48" s="53"/>
      <c r="U48" s="53"/>
      <c r="V48" s="53"/>
      <c r="W48" s="53"/>
      <c r="X48" s="53"/>
      <c r="Y48" s="53">
        <f t="shared" si="18"/>
        <v>0</v>
      </c>
      <c r="Z48" s="53">
        <f t="shared" si="19"/>
        <v>0</v>
      </c>
      <c r="AA48" s="53">
        <f t="shared" si="20"/>
        <v>0</v>
      </c>
      <c r="AB48" s="53" t="s">
        <v>115</v>
      </c>
      <c r="AC48" s="53" t="s">
        <v>180</v>
      </c>
      <c r="AD48" s="53"/>
      <c r="AE48" s="53">
        <f t="shared" si="21"/>
        <v>0</v>
      </c>
      <c r="AF48" s="53">
        <f t="shared" si="22"/>
        <v>0</v>
      </c>
      <c r="AG48" s="53">
        <f t="shared" si="23"/>
        <v>0</v>
      </c>
      <c r="AH48" s="53">
        <f t="shared" si="24"/>
        <v>0</v>
      </c>
      <c r="AI48" s="53">
        <f t="shared" si="25"/>
        <v>0</v>
      </c>
      <c r="AJ48" s="53">
        <f t="shared" si="26"/>
        <v>0</v>
      </c>
      <c r="AK48" s="53">
        <f t="shared" si="27"/>
        <v>0</v>
      </c>
      <c r="AL48" s="53">
        <f t="shared" si="28"/>
        <v>0</v>
      </c>
      <c r="AM48" s="53">
        <f t="shared" si="29"/>
        <v>0</v>
      </c>
      <c r="AN48" s="53">
        <f t="shared" si="30"/>
        <v>0</v>
      </c>
      <c r="AO48" s="53">
        <f t="shared" si="31"/>
        <v>0</v>
      </c>
      <c r="AP48" s="53">
        <f t="shared" si="32"/>
        <v>0</v>
      </c>
      <c r="AQ48" s="53">
        <f t="shared" si="33"/>
        <v>0</v>
      </c>
      <c r="AR48" s="53">
        <f t="shared" si="34"/>
        <v>0</v>
      </c>
      <c r="AS48" s="53">
        <f t="shared" si="35"/>
        <v>0</v>
      </c>
    </row>
    <row r="49" spans="1:45">
      <c r="A49" s="53">
        <v>36</v>
      </c>
      <c r="B49" s="53"/>
      <c r="C49" s="53"/>
      <c r="D49" s="55"/>
      <c r="E49" s="55"/>
      <c r="F49" s="55"/>
      <c r="G49" s="55"/>
      <c r="H49" s="53"/>
      <c r="I49" s="53"/>
      <c r="J49" s="53"/>
      <c r="K49" s="53"/>
      <c r="L49" s="53"/>
      <c r="M49" s="53"/>
      <c r="N49" s="53"/>
      <c r="O49" s="53"/>
      <c r="P49" s="53"/>
      <c r="Q49" s="53"/>
      <c r="R49" s="53"/>
      <c r="S49" s="53"/>
      <c r="T49" s="53"/>
      <c r="U49" s="53"/>
      <c r="V49" s="53"/>
      <c r="W49" s="53"/>
      <c r="X49" s="53"/>
      <c r="Y49" s="53">
        <f t="shared" si="18"/>
        <v>0</v>
      </c>
      <c r="Z49" s="53">
        <f t="shared" si="19"/>
        <v>0</v>
      </c>
      <c r="AA49" s="53">
        <f t="shared" si="20"/>
        <v>0</v>
      </c>
      <c r="AB49" s="53" t="s">
        <v>115</v>
      </c>
      <c r="AC49" s="53" t="s">
        <v>181</v>
      </c>
      <c r="AD49" s="53"/>
      <c r="AE49" s="53">
        <f t="shared" si="21"/>
        <v>0</v>
      </c>
      <c r="AF49" s="53">
        <f t="shared" si="22"/>
        <v>0</v>
      </c>
      <c r="AG49" s="53">
        <f t="shared" si="23"/>
        <v>0</v>
      </c>
      <c r="AH49" s="53">
        <f t="shared" si="24"/>
        <v>0</v>
      </c>
      <c r="AI49" s="53">
        <f t="shared" si="25"/>
        <v>0</v>
      </c>
      <c r="AJ49" s="53">
        <f t="shared" si="26"/>
        <v>0</v>
      </c>
      <c r="AK49" s="53">
        <f t="shared" si="27"/>
        <v>0</v>
      </c>
      <c r="AL49" s="53">
        <f t="shared" si="28"/>
        <v>0</v>
      </c>
      <c r="AM49" s="53">
        <f t="shared" si="29"/>
        <v>0</v>
      </c>
      <c r="AN49" s="53">
        <f t="shared" si="30"/>
        <v>0</v>
      </c>
      <c r="AO49" s="53">
        <f t="shared" si="31"/>
        <v>0</v>
      </c>
      <c r="AP49" s="53">
        <f t="shared" si="32"/>
        <v>0</v>
      </c>
      <c r="AQ49" s="53">
        <f t="shared" si="33"/>
        <v>0</v>
      </c>
      <c r="AR49" s="53">
        <f t="shared" si="34"/>
        <v>0</v>
      </c>
      <c r="AS49" s="53">
        <f t="shared" si="35"/>
        <v>0</v>
      </c>
    </row>
    <row r="50" spans="1:45">
      <c r="A50" s="53">
        <v>36</v>
      </c>
      <c r="B50" s="53"/>
      <c r="C50" s="53"/>
      <c r="D50" s="55"/>
      <c r="E50" s="55"/>
      <c r="F50" s="55"/>
      <c r="G50" s="55"/>
      <c r="H50" s="53"/>
      <c r="I50" s="53"/>
      <c r="J50" s="53"/>
      <c r="K50" s="53"/>
      <c r="L50" s="53"/>
      <c r="M50" s="53"/>
      <c r="N50" s="53"/>
      <c r="O50" s="53"/>
      <c r="P50" s="53"/>
      <c r="Q50" s="53"/>
      <c r="R50" s="53"/>
      <c r="S50" s="53"/>
      <c r="T50" s="53"/>
      <c r="U50" s="53"/>
      <c r="V50" s="53"/>
      <c r="W50" s="53"/>
      <c r="X50" s="53"/>
      <c r="Y50" s="53">
        <f t="shared" si="18"/>
        <v>0</v>
      </c>
      <c r="Z50" s="53">
        <f t="shared" si="19"/>
        <v>0</v>
      </c>
      <c r="AA50" s="53">
        <f t="shared" si="20"/>
        <v>0</v>
      </c>
      <c r="AB50" s="53" t="s">
        <v>115</v>
      </c>
      <c r="AC50" s="53" t="s">
        <v>182</v>
      </c>
      <c r="AD50" s="53"/>
      <c r="AE50" s="53">
        <f t="shared" si="21"/>
        <v>0</v>
      </c>
      <c r="AF50" s="53">
        <f t="shared" si="22"/>
        <v>0</v>
      </c>
      <c r="AG50" s="53">
        <f t="shared" si="23"/>
        <v>0</v>
      </c>
      <c r="AH50" s="53">
        <f t="shared" si="24"/>
        <v>0</v>
      </c>
      <c r="AI50" s="53">
        <f t="shared" si="25"/>
        <v>0</v>
      </c>
      <c r="AJ50" s="53">
        <f t="shared" si="26"/>
        <v>0</v>
      </c>
      <c r="AK50" s="53">
        <f t="shared" si="27"/>
        <v>0</v>
      </c>
      <c r="AL50" s="53">
        <f t="shared" si="28"/>
        <v>0</v>
      </c>
      <c r="AM50" s="53">
        <f t="shared" si="29"/>
        <v>0</v>
      </c>
      <c r="AN50" s="53">
        <f t="shared" si="30"/>
        <v>0</v>
      </c>
      <c r="AO50" s="53">
        <f t="shared" si="31"/>
        <v>0</v>
      </c>
      <c r="AP50" s="53">
        <f t="shared" si="32"/>
        <v>0</v>
      </c>
      <c r="AQ50" s="53">
        <f t="shared" si="33"/>
        <v>0</v>
      </c>
      <c r="AR50" s="53">
        <f t="shared" si="34"/>
        <v>0</v>
      </c>
      <c r="AS50" s="53">
        <f t="shared" si="35"/>
        <v>0</v>
      </c>
    </row>
    <row r="51" spans="1:45">
      <c r="A51" s="53">
        <v>36</v>
      </c>
      <c r="B51" s="53"/>
      <c r="C51" s="53"/>
      <c r="D51" s="55"/>
      <c r="E51" s="55"/>
      <c r="F51" s="55"/>
      <c r="G51" s="55"/>
      <c r="H51" s="53"/>
      <c r="I51" s="53"/>
      <c r="J51" s="53"/>
      <c r="K51" s="53"/>
      <c r="L51" s="53"/>
      <c r="M51" s="53"/>
      <c r="N51" s="53"/>
      <c r="O51" s="53"/>
      <c r="P51" s="53"/>
      <c r="Q51" s="53"/>
      <c r="R51" s="53"/>
      <c r="S51" s="53"/>
      <c r="T51" s="53"/>
      <c r="U51" s="53"/>
      <c r="V51" s="53"/>
      <c r="W51" s="53"/>
      <c r="X51" s="53"/>
      <c r="Y51" s="53">
        <f t="shared" si="18"/>
        <v>0</v>
      </c>
      <c r="Z51" s="53">
        <f t="shared" si="19"/>
        <v>0</v>
      </c>
      <c r="AA51" s="53">
        <f t="shared" si="20"/>
        <v>0</v>
      </c>
      <c r="AB51" s="53" t="s">
        <v>115</v>
      </c>
      <c r="AC51" s="53" t="s">
        <v>183</v>
      </c>
      <c r="AD51" s="53"/>
      <c r="AE51" s="53">
        <f t="shared" si="21"/>
        <v>0</v>
      </c>
      <c r="AF51" s="53">
        <f t="shared" si="22"/>
        <v>0</v>
      </c>
      <c r="AG51" s="53">
        <f t="shared" si="23"/>
        <v>0</v>
      </c>
      <c r="AH51" s="53">
        <f t="shared" si="24"/>
        <v>0</v>
      </c>
      <c r="AI51" s="53">
        <f t="shared" si="25"/>
        <v>0</v>
      </c>
      <c r="AJ51" s="53">
        <f t="shared" si="26"/>
        <v>0</v>
      </c>
      <c r="AK51" s="53">
        <f t="shared" si="27"/>
        <v>0</v>
      </c>
      <c r="AL51" s="53">
        <f t="shared" si="28"/>
        <v>0</v>
      </c>
      <c r="AM51" s="53">
        <f t="shared" si="29"/>
        <v>0</v>
      </c>
      <c r="AN51" s="53">
        <f t="shared" si="30"/>
        <v>0</v>
      </c>
      <c r="AO51" s="53">
        <f t="shared" si="31"/>
        <v>0</v>
      </c>
      <c r="AP51" s="53">
        <f t="shared" si="32"/>
        <v>0</v>
      </c>
      <c r="AQ51" s="53">
        <f t="shared" si="33"/>
        <v>0</v>
      </c>
      <c r="AR51" s="53">
        <f t="shared" si="34"/>
        <v>0</v>
      </c>
      <c r="AS51" s="53">
        <f t="shared" si="35"/>
        <v>0</v>
      </c>
    </row>
    <row r="52" spans="1:45">
      <c r="A52" s="53">
        <v>36</v>
      </c>
      <c r="B52" s="53"/>
      <c r="C52" s="53"/>
      <c r="D52" s="55"/>
      <c r="E52" s="55"/>
      <c r="F52" s="55"/>
      <c r="G52" s="55"/>
      <c r="H52" s="53"/>
      <c r="I52" s="53"/>
      <c r="J52" s="53"/>
      <c r="K52" s="53"/>
      <c r="L52" s="53"/>
      <c r="M52" s="53"/>
      <c r="N52" s="53"/>
      <c r="O52" s="53"/>
      <c r="P52" s="53"/>
      <c r="Q52" s="53"/>
      <c r="R52" s="53"/>
      <c r="S52" s="53"/>
      <c r="T52" s="53"/>
      <c r="U52" s="53"/>
      <c r="V52" s="53"/>
      <c r="W52" s="53"/>
      <c r="X52" s="53"/>
      <c r="Y52" s="53">
        <f t="shared" si="18"/>
        <v>0</v>
      </c>
      <c r="Z52" s="53">
        <f t="shared" si="19"/>
        <v>0</v>
      </c>
      <c r="AA52" s="53">
        <f t="shared" si="20"/>
        <v>0</v>
      </c>
      <c r="AB52" s="53" t="s">
        <v>115</v>
      </c>
      <c r="AC52" s="53" t="s">
        <v>184</v>
      </c>
      <c r="AD52" s="53"/>
      <c r="AE52" s="53">
        <f t="shared" si="21"/>
        <v>0</v>
      </c>
      <c r="AF52" s="53">
        <f t="shared" si="22"/>
        <v>0</v>
      </c>
      <c r="AG52" s="53">
        <f t="shared" si="23"/>
        <v>0</v>
      </c>
      <c r="AH52" s="53">
        <f t="shared" si="24"/>
        <v>0</v>
      </c>
      <c r="AI52" s="53">
        <f t="shared" si="25"/>
        <v>0</v>
      </c>
      <c r="AJ52" s="53">
        <f t="shared" si="26"/>
        <v>0</v>
      </c>
      <c r="AK52" s="53">
        <f t="shared" si="27"/>
        <v>0</v>
      </c>
      <c r="AL52" s="53">
        <f t="shared" si="28"/>
        <v>0</v>
      </c>
      <c r="AM52" s="53">
        <f t="shared" si="29"/>
        <v>0</v>
      </c>
      <c r="AN52" s="53">
        <f t="shared" si="30"/>
        <v>0</v>
      </c>
      <c r="AO52" s="53">
        <f t="shared" si="31"/>
        <v>0</v>
      </c>
      <c r="AP52" s="53">
        <f t="shared" si="32"/>
        <v>0</v>
      </c>
      <c r="AQ52" s="53">
        <f t="shared" si="33"/>
        <v>0</v>
      </c>
      <c r="AR52" s="53">
        <f t="shared" si="34"/>
        <v>0</v>
      </c>
      <c r="AS52" s="53">
        <f t="shared" si="35"/>
        <v>0</v>
      </c>
    </row>
    <row r="53" spans="1:45">
      <c r="A53" s="53">
        <v>36</v>
      </c>
      <c r="B53" s="53"/>
      <c r="C53" s="53"/>
      <c r="D53" s="55"/>
      <c r="E53" s="55"/>
      <c r="F53" s="55"/>
      <c r="G53" s="55"/>
      <c r="H53" s="53"/>
      <c r="I53" s="53"/>
      <c r="J53" s="53"/>
      <c r="K53" s="53"/>
      <c r="L53" s="53"/>
      <c r="M53" s="53"/>
      <c r="N53" s="53"/>
      <c r="O53" s="53"/>
      <c r="P53" s="53"/>
      <c r="Q53" s="53"/>
      <c r="R53" s="53"/>
      <c r="S53" s="53"/>
      <c r="T53" s="53"/>
      <c r="U53" s="53"/>
      <c r="V53" s="53"/>
      <c r="W53" s="53"/>
      <c r="X53" s="53"/>
      <c r="Y53" s="53">
        <f t="shared" si="18"/>
        <v>0</v>
      </c>
      <c r="Z53" s="53">
        <f t="shared" si="19"/>
        <v>0</v>
      </c>
      <c r="AA53" s="53">
        <f t="shared" si="20"/>
        <v>0</v>
      </c>
      <c r="AB53" s="53" t="s">
        <v>115</v>
      </c>
      <c r="AC53" s="53" t="s">
        <v>185</v>
      </c>
      <c r="AD53" s="53"/>
      <c r="AE53" s="53">
        <f t="shared" si="21"/>
        <v>0</v>
      </c>
      <c r="AF53" s="53">
        <f t="shared" si="22"/>
        <v>0</v>
      </c>
      <c r="AG53" s="53">
        <f t="shared" si="23"/>
        <v>0</v>
      </c>
      <c r="AH53" s="53">
        <f t="shared" si="24"/>
        <v>0</v>
      </c>
      <c r="AI53" s="53">
        <f t="shared" si="25"/>
        <v>0</v>
      </c>
      <c r="AJ53" s="53">
        <f t="shared" si="26"/>
        <v>0</v>
      </c>
      <c r="AK53" s="53">
        <f t="shared" si="27"/>
        <v>0</v>
      </c>
      <c r="AL53" s="53">
        <f t="shared" si="28"/>
        <v>0</v>
      </c>
      <c r="AM53" s="53">
        <f t="shared" si="29"/>
        <v>0</v>
      </c>
      <c r="AN53" s="53">
        <f t="shared" si="30"/>
        <v>0</v>
      </c>
      <c r="AO53" s="53">
        <f t="shared" si="31"/>
        <v>0</v>
      </c>
      <c r="AP53" s="53">
        <f t="shared" si="32"/>
        <v>0</v>
      </c>
      <c r="AQ53" s="53">
        <f t="shared" si="33"/>
        <v>0</v>
      </c>
      <c r="AR53" s="53">
        <f t="shared" si="34"/>
        <v>0</v>
      </c>
      <c r="AS53" s="53">
        <f t="shared" si="35"/>
        <v>0</v>
      </c>
    </row>
    <row r="54" spans="1:45">
      <c r="A54" s="53">
        <v>36</v>
      </c>
      <c r="B54" s="53"/>
      <c r="C54" s="53"/>
      <c r="D54" s="55"/>
      <c r="E54" s="55"/>
      <c r="F54" s="55"/>
      <c r="G54" s="55"/>
      <c r="H54" s="53"/>
      <c r="I54" s="53"/>
      <c r="J54" s="53"/>
      <c r="K54" s="53"/>
      <c r="L54" s="53"/>
      <c r="M54" s="53"/>
      <c r="N54" s="53"/>
      <c r="O54" s="53"/>
      <c r="P54" s="53"/>
      <c r="Q54" s="53"/>
      <c r="R54" s="53"/>
      <c r="S54" s="53"/>
      <c r="T54" s="53"/>
      <c r="U54" s="53"/>
      <c r="V54" s="53"/>
      <c r="W54" s="53"/>
      <c r="X54" s="53"/>
      <c r="Y54" s="53">
        <f t="shared" si="18"/>
        <v>0</v>
      </c>
      <c r="Z54" s="53">
        <f t="shared" si="19"/>
        <v>0</v>
      </c>
      <c r="AA54" s="53">
        <f t="shared" si="20"/>
        <v>0</v>
      </c>
      <c r="AB54" s="53" t="s">
        <v>115</v>
      </c>
      <c r="AC54" s="53" t="s">
        <v>186</v>
      </c>
      <c r="AD54" s="53"/>
      <c r="AE54" s="53">
        <f t="shared" si="21"/>
        <v>0</v>
      </c>
      <c r="AF54" s="53">
        <f t="shared" si="22"/>
        <v>0</v>
      </c>
      <c r="AG54" s="53">
        <f t="shared" si="23"/>
        <v>0</v>
      </c>
      <c r="AH54" s="53">
        <f t="shared" si="24"/>
        <v>0</v>
      </c>
      <c r="AI54" s="53">
        <f t="shared" si="25"/>
        <v>0</v>
      </c>
      <c r="AJ54" s="53">
        <f t="shared" si="26"/>
        <v>0</v>
      </c>
      <c r="AK54" s="53">
        <f t="shared" si="27"/>
        <v>0</v>
      </c>
      <c r="AL54" s="53">
        <f t="shared" si="28"/>
        <v>0</v>
      </c>
      <c r="AM54" s="53">
        <f t="shared" si="29"/>
        <v>0</v>
      </c>
      <c r="AN54" s="53">
        <f t="shared" si="30"/>
        <v>0</v>
      </c>
      <c r="AO54" s="53">
        <f t="shared" si="31"/>
        <v>0</v>
      </c>
      <c r="AP54" s="53">
        <f t="shared" si="32"/>
        <v>0</v>
      </c>
      <c r="AQ54" s="53">
        <f t="shared" si="33"/>
        <v>0</v>
      </c>
      <c r="AR54" s="53">
        <f t="shared" si="34"/>
        <v>0</v>
      </c>
      <c r="AS54" s="53">
        <f t="shared" si="35"/>
        <v>0</v>
      </c>
    </row>
    <row r="55" spans="1:45">
      <c r="A55" s="53">
        <v>36</v>
      </c>
      <c r="B55" s="53"/>
      <c r="C55" s="53"/>
      <c r="D55" s="55"/>
      <c r="E55" s="55"/>
      <c r="F55" s="55"/>
      <c r="G55" s="55"/>
      <c r="H55" s="53"/>
      <c r="I55" s="53"/>
      <c r="J55" s="53"/>
      <c r="K55" s="53"/>
      <c r="L55" s="53"/>
      <c r="M55" s="53"/>
      <c r="N55" s="53"/>
      <c r="O55" s="53"/>
      <c r="P55" s="53"/>
      <c r="Q55" s="53"/>
      <c r="R55" s="53"/>
      <c r="S55" s="53"/>
      <c r="T55" s="53"/>
      <c r="U55" s="53"/>
      <c r="V55" s="53"/>
      <c r="W55" s="53"/>
      <c r="X55" s="53"/>
      <c r="Y55" s="53">
        <f t="shared" si="18"/>
        <v>0</v>
      </c>
      <c r="Z55" s="53">
        <f t="shared" si="19"/>
        <v>0</v>
      </c>
      <c r="AA55" s="53">
        <f t="shared" si="20"/>
        <v>0</v>
      </c>
      <c r="AB55" s="53" t="s">
        <v>115</v>
      </c>
      <c r="AC55" s="53" t="s">
        <v>187</v>
      </c>
      <c r="AD55" s="53"/>
      <c r="AE55" s="53">
        <f t="shared" si="21"/>
        <v>0</v>
      </c>
      <c r="AF55" s="53">
        <f t="shared" si="22"/>
        <v>0</v>
      </c>
      <c r="AG55" s="53">
        <f t="shared" si="23"/>
        <v>0</v>
      </c>
      <c r="AH55" s="53">
        <f t="shared" si="24"/>
        <v>0</v>
      </c>
      <c r="AI55" s="53">
        <f t="shared" si="25"/>
        <v>0</v>
      </c>
      <c r="AJ55" s="53">
        <f t="shared" si="26"/>
        <v>0</v>
      </c>
      <c r="AK55" s="53">
        <f t="shared" si="27"/>
        <v>0</v>
      </c>
      <c r="AL55" s="53">
        <f t="shared" si="28"/>
        <v>0</v>
      </c>
      <c r="AM55" s="53">
        <f t="shared" si="29"/>
        <v>0</v>
      </c>
      <c r="AN55" s="53">
        <f t="shared" si="30"/>
        <v>0</v>
      </c>
      <c r="AO55" s="53">
        <f t="shared" si="31"/>
        <v>0</v>
      </c>
      <c r="AP55" s="53">
        <f t="shared" si="32"/>
        <v>0</v>
      </c>
      <c r="AQ55" s="53">
        <f t="shared" si="33"/>
        <v>0</v>
      </c>
      <c r="AR55" s="53">
        <f t="shared" si="34"/>
        <v>0</v>
      </c>
      <c r="AS55" s="53">
        <f t="shared" si="35"/>
        <v>0</v>
      </c>
    </row>
    <row r="56" spans="1:45">
      <c r="A56" s="53">
        <v>36</v>
      </c>
      <c r="B56" s="53"/>
      <c r="C56" s="53"/>
      <c r="D56" s="55"/>
      <c r="E56" s="55"/>
      <c r="F56" s="55"/>
      <c r="G56" s="55"/>
      <c r="H56" s="53"/>
      <c r="I56" s="53"/>
      <c r="J56" s="53"/>
      <c r="K56" s="53"/>
      <c r="L56" s="53"/>
      <c r="M56" s="53"/>
      <c r="N56" s="53"/>
      <c r="O56" s="53"/>
      <c r="P56" s="53"/>
      <c r="Q56" s="53"/>
      <c r="R56" s="53"/>
      <c r="S56" s="53"/>
      <c r="T56" s="53"/>
      <c r="U56" s="53"/>
      <c r="V56" s="53"/>
      <c r="W56" s="53"/>
      <c r="X56" s="53"/>
      <c r="Y56" s="53">
        <f t="shared" si="18"/>
        <v>0</v>
      </c>
      <c r="Z56" s="53">
        <f t="shared" si="19"/>
        <v>0</v>
      </c>
      <c r="AA56" s="53">
        <f t="shared" si="20"/>
        <v>0</v>
      </c>
      <c r="AB56" s="53" t="s">
        <v>115</v>
      </c>
      <c r="AC56" s="53" t="s">
        <v>188</v>
      </c>
      <c r="AD56" s="53"/>
      <c r="AE56" s="53">
        <f t="shared" si="21"/>
        <v>0</v>
      </c>
      <c r="AF56" s="53">
        <f t="shared" si="22"/>
        <v>0</v>
      </c>
      <c r="AG56" s="53">
        <f t="shared" si="23"/>
        <v>0</v>
      </c>
      <c r="AH56" s="53">
        <f t="shared" si="24"/>
        <v>0</v>
      </c>
      <c r="AI56" s="53">
        <f t="shared" si="25"/>
        <v>0</v>
      </c>
      <c r="AJ56" s="53">
        <f t="shared" si="26"/>
        <v>0</v>
      </c>
      <c r="AK56" s="53">
        <f t="shared" si="27"/>
        <v>0</v>
      </c>
      <c r="AL56" s="53">
        <f t="shared" si="28"/>
        <v>0</v>
      </c>
      <c r="AM56" s="53">
        <f t="shared" si="29"/>
        <v>0</v>
      </c>
      <c r="AN56" s="53">
        <f t="shared" si="30"/>
        <v>0</v>
      </c>
      <c r="AO56" s="53">
        <f t="shared" si="31"/>
        <v>0</v>
      </c>
      <c r="AP56" s="53">
        <f t="shared" si="32"/>
        <v>0</v>
      </c>
      <c r="AQ56" s="53">
        <f t="shared" si="33"/>
        <v>0</v>
      </c>
      <c r="AR56" s="53">
        <f t="shared" si="34"/>
        <v>0</v>
      </c>
      <c r="AS56" s="53">
        <f t="shared" si="35"/>
        <v>0</v>
      </c>
    </row>
    <row r="57" spans="1:45">
      <c r="A57" s="53">
        <v>36</v>
      </c>
      <c r="B57" s="53"/>
      <c r="C57" s="53"/>
      <c r="D57" s="55"/>
      <c r="E57" s="55"/>
      <c r="F57" s="55"/>
      <c r="G57" s="55"/>
      <c r="H57" s="53"/>
      <c r="I57" s="53"/>
      <c r="J57" s="53"/>
      <c r="K57" s="53"/>
      <c r="L57" s="53"/>
      <c r="M57" s="53"/>
      <c r="N57" s="53"/>
      <c r="O57" s="53"/>
      <c r="P57" s="53"/>
      <c r="Q57" s="53"/>
      <c r="R57" s="53"/>
      <c r="S57" s="53"/>
      <c r="T57" s="53"/>
      <c r="U57" s="53"/>
      <c r="V57" s="53"/>
      <c r="W57" s="53"/>
      <c r="X57" s="53"/>
      <c r="Y57" s="53">
        <f t="shared" si="18"/>
        <v>0</v>
      </c>
      <c r="Z57" s="53">
        <f t="shared" si="19"/>
        <v>0</v>
      </c>
      <c r="AA57" s="53">
        <f t="shared" si="20"/>
        <v>0</v>
      </c>
      <c r="AB57" s="53" t="s">
        <v>115</v>
      </c>
      <c r="AC57" s="53" t="s">
        <v>189</v>
      </c>
      <c r="AD57" s="53"/>
      <c r="AE57" s="53">
        <f t="shared" si="21"/>
        <v>0</v>
      </c>
      <c r="AF57" s="53">
        <f t="shared" si="22"/>
        <v>0</v>
      </c>
      <c r="AG57" s="53">
        <f t="shared" si="23"/>
        <v>0</v>
      </c>
      <c r="AH57" s="53">
        <f t="shared" si="24"/>
        <v>0</v>
      </c>
      <c r="AI57" s="53">
        <f t="shared" si="25"/>
        <v>0</v>
      </c>
      <c r="AJ57" s="53">
        <f t="shared" si="26"/>
        <v>0</v>
      </c>
      <c r="AK57" s="53">
        <f t="shared" si="27"/>
        <v>0</v>
      </c>
      <c r="AL57" s="53">
        <f t="shared" si="28"/>
        <v>0</v>
      </c>
      <c r="AM57" s="53">
        <f t="shared" si="29"/>
        <v>0</v>
      </c>
      <c r="AN57" s="53">
        <f t="shared" si="30"/>
        <v>0</v>
      </c>
      <c r="AO57" s="53">
        <f t="shared" si="31"/>
        <v>0</v>
      </c>
      <c r="AP57" s="53">
        <f t="shared" si="32"/>
        <v>0</v>
      </c>
      <c r="AQ57" s="53">
        <f t="shared" si="33"/>
        <v>0</v>
      </c>
      <c r="AR57" s="53">
        <f t="shared" si="34"/>
        <v>0</v>
      </c>
      <c r="AS57" s="53">
        <f t="shared" si="35"/>
        <v>0</v>
      </c>
    </row>
    <row r="58" spans="1:45">
      <c r="A58" s="53" t="s">
        <v>29</v>
      </c>
      <c r="B58" s="53"/>
      <c r="C58" s="53"/>
      <c r="D58" s="55"/>
      <c r="E58" s="55"/>
      <c r="F58" s="55"/>
      <c r="G58" s="55"/>
      <c r="H58" s="53"/>
      <c r="I58" s="53"/>
      <c r="J58" s="53"/>
      <c r="K58" s="53"/>
      <c r="L58" s="53"/>
      <c r="M58" s="53"/>
      <c r="N58" s="53"/>
      <c r="O58" s="53"/>
      <c r="P58" s="53"/>
      <c r="Q58" s="53"/>
      <c r="R58" s="53"/>
      <c r="S58" s="53"/>
      <c r="T58" s="53"/>
      <c r="U58" s="53"/>
      <c r="V58" s="53"/>
      <c r="W58" s="53"/>
      <c r="X58" s="53"/>
      <c r="Y58" s="53">
        <f>SUM(Y8:Y57)</f>
        <v>13</v>
      </c>
      <c r="Z58" s="53">
        <f>SUM(Z8:Z57)</f>
        <v>16</v>
      </c>
      <c r="AA58" s="53">
        <f>SUM(AA8:AA57)</f>
        <v>196000</v>
      </c>
      <c r="AB58" s="53"/>
      <c r="AC58" s="53"/>
      <c r="AD58" s="53"/>
      <c r="AE58" s="53">
        <f t="shared" ref="AE58:AS58" si="36">SUM(AE8:AE57)</f>
        <v>8</v>
      </c>
      <c r="AF58" s="53">
        <f t="shared" si="36"/>
        <v>5</v>
      </c>
      <c r="AG58" s="53">
        <f t="shared" si="36"/>
        <v>13</v>
      </c>
      <c r="AH58" s="53">
        <f t="shared" si="36"/>
        <v>7</v>
      </c>
      <c r="AI58" s="53">
        <f t="shared" si="36"/>
        <v>3</v>
      </c>
      <c r="AJ58" s="53">
        <f t="shared" si="36"/>
        <v>10</v>
      </c>
      <c r="AK58" s="53">
        <f t="shared" si="36"/>
        <v>1</v>
      </c>
      <c r="AL58" s="53">
        <f t="shared" si="36"/>
        <v>2</v>
      </c>
      <c r="AM58" s="53">
        <f t="shared" si="36"/>
        <v>3</v>
      </c>
      <c r="AN58" s="53">
        <f t="shared" si="36"/>
        <v>9</v>
      </c>
      <c r="AO58" s="53">
        <f t="shared" si="36"/>
        <v>7</v>
      </c>
      <c r="AP58" s="53">
        <f t="shared" si="36"/>
        <v>16</v>
      </c>
      <c r="AQ58" s="53">
        <f t="shared" si="36"/>
        <v>142000</v>
      </c>
      <c r="AR58" s="53">
        <f t="shared" si="36"/>
        <v>54000</v>
      </c>
      <c r="AS58" s="53">
        <f t="shared" si="36"/>
        <v>196000</v>
      </c>
    </row>
    <row r="60" spans="1:45">
      <c r="A60" s="52" t="s">
        <v>0</v>
      </c>
      <c r="B60" s="52" t="s">
        <v>1</v>
      </c>
      <c r="C60" s="52" t="s">
        <v>2</v>
      </c>
      <c r="D60" s="54" t="s">
        <v>3</v>
      </c>
      <c r="E60" s="54" t="s">
        <v>4</v>
      </c>
      <c r="F60" s="54" t="s">
        <v>5</v>
      </c>
      <c r="G60" s="54" t="s">
        <v>6</v>
      </c>
      <c r="H60" s="52" t="s">
        <v>7</v>
      </c>
      <c r="I60" s="52" t="s">
        <v>8</v>
      </c>
      <c r="J60" s="52" t="s">
        <v>9</v>
      </c>
      <c r="K60" s="52" t="s">
        <v>10</v>
      </c>
      <c r="L60" s="52" t="s">
        <v>11</v>
      </c>
      <c r="M60" s="52" t="s">
        <v>12</v>
      </c>
      <c r="N60" s="52" t="s">
        <v>13</v>
      </c>
      <c r="O60" s="52" t="s">
        <v>14</v>
      </c>
      <c r="P60" s="52" t="s">
        <v>15</v>
      </c>
      <c r="Q60" s="52" t="s">
        <v>16</v>
      </c>
      <c r="R60" s="52" t="s">
        <v>17</v>
      </c>
      <c r="S60" s="52" t="s">
        <v>18</v>
      </c>
      <c r="T60" s="52" t="s">
        <v>19</v>
      </c>
      <c r="U60" s="52" t="s">
        <v>20</v>
      </c>
      <c r="V60" s="52" t="s">
        <v>21</v>
      </c>
      <c r="W60" s="52" t="s">
        <v>22</v>
      </c>
      <c r="X60" s="52" t="s">
        <v>23</v>
      </c>
      <c r="Y60" s="52" t="s">
        <v>24</v>
      </c>
      <c r="Z60" s="52" t="s">
        <v>25</v>
      </c>
      <c r="AA60" s="52" t="s">
        <v>26</v>
      </c>
      <c r="AB60" s="52" t="s">
        <v>27</v>
      </c>
      <c r="AC60" s="52" t="s">
        <v>28</v>
      </c>
      <c r="AD60" s="52" t="s">
        <v>89</v>
      </c>
      <c r="AE60" s="52" t="s">
        <v>90</v>
      </c>
      <c r="AF60" s="52" t="s">
        <v>91</v>
      </c>
      <c r="AG60" s="52" t="s">
        <v>92</v>
      </c>
      <c r="AH60" s="52" t="s">
        <v>93</v>
      </c>
      <c r="AI60" s="52" t="s">
        <v>94</v>
      </c>
      <c r="AJ60" s="52" t="s">
        <v>95</v>
      </c>
      <c r="AK60" s="52" t="s">
        <v>96</v>
      </c>
      <c r="AL60" s="52" t="s">
        <v>97</v>
      </c>
      <c r="AM60" s="52" t="s">
        <v>98</v>
      </c>
      <c r="AN60" s="52" t="s">
        <v>70</v>
      </c>
      <c r="AO60" s="52" t="s">
        <v>71</v>
      </c>
      <c r="AP60" s="52" t="s">
        <v>48</v>
      </c>
      <c r="AQ60" s="52" t="s">
        <v>79</v>
      </c>
      <c r="AR60" s="52" t="s">
        <v>80</v>
      </c>
      <c r="AS60" s="52" t="s">
        <v>78</v>
      </c>
    </row>
    <row r="61" spans="1:45">
      <c r="A61" s="52">
        <v>37</v>
      </c>
      <c r="B61" s="52" t="s">
        <v>100</v>
      </c>
      <c r="C61" s="52" t="s">
        <v>190</v>
      </c>
      <c r="D61" s="54">
        <v>46274</v>
      </c>
      <c r="E61" s="54">
        <v>46276</v>
      </c>
      <c r="F61" s="54">
        <v>46273</v>
      </c>
      <c r="G61" s="54">
        <v>46282</v>
      </c>
      <c r="H61" s="52" t="s">
        <v>102</v>
      </c>
      <c r="I61" s="52" t="s">
        <v>191</v>
      </c>
      <c r="J61" s="52" t="s">
        <v>104</v>
      </c>
      <c r="K61" s="52" t="s">
        <v>105</v>
      </c>
      <c r="L61" s="52" t="s">
        <v>106</v>
      </c>
      <c r="M61" s="52">
        <v>4</v>
      </c>
      <c r="N61" s="52">
        <v>4</v>
      </c>
      <c r="O61" s="52" t="s">
        <v>118</v>
      </c>
      <c r="P61" s="52">
        <v>80000</v>
      </c>
      <c r="Q61" s="52" t="s">
        <v>108</v>
      </c>
      <c r="R61" s="52" t="s">
        <v>109</v>
      </c>
      <c r="S61" s="52" t="s">
        <v>110</v>
      </c>
      <c r="T61" s="52" t="s">
        <v>111</v>
      </c>
      <c r="U61" s="52" t="s">
        <v>124</v>
      </c>
      <c r="V61" s="52" t="s">
        <v>113</v>
      </c>
      <c r="W61" s="52" t="s">
        <v>114</v>
      </c>
      <c r="X61" s="52"/>
      <c r="Y61" s="52">
        <f t="shared" ref="Y61:Y92" si="37">IF(UPPER(TRIM($W61&amp;""))="CANCELLED",0,IFERROR(0+$M61,0))</f>
        <v>4</v>
      </c>
      <c r="Z61" s="52">
        <f t="shared" ref="Z61:Z92" si="38">IF(UPPER(TRIM($W61&amp;""))="CANCELLED",0,IFERROR((IFERROR(0+$M61,0))*IF(IFERROR(0+TRIM($N61&amp;""),0)=4,2,IF(IFERROR(0+TRIM($N61&amp;""),0)=2,1,0)),0))</f>
        <v>8</v>
      </c>
      <c r="AA61" s="52">
        <f t="shared" ref="AA61:AA92" si="39">IF(UPPER(TRIM($W61&amp;""))="CANCELLED",0,IFERROR(0+$P61,0))</f>
        <v>80000</v>
      </c>
      <c r="AB61" s="52" t="s">
        <v>192</v>
      </c>
      <c r="AC61" s="52" t="s">
        <v>193</v>
      </c>
      <c r="AD61" s="52" t="s">
        <v>126</v>
      </c>
      <c r="AE61" s="52">
        <f t="shared" ref="AE61:AE92" si="40">IF(UPPER(TRIM($W61&amp;""))="CANCELLED",0,IF(UPPER(TRIM($AD61&amp;""))="EMPTY",0,IFERROR(0+$M61,0)))</f>
        <v>4</v>
      </c>
      <c r="AF61" s="52">
        <f t="shared" ref="AF61:AF92" si="41">IF(UPPER(TRIM($W61&amp;""))="CANCELLED",0,IF(UPPER(TRIM($AD61&amp;""))="EMPTY",IFERROR(0+$M61,0),0))</f>
        <v>0</v>
      </c>
      <c r="AG61" s="52">
        <f t="shared" ref="AG61:AG92" si="42">AE61+AF61</f>
        <v>4</v>
      </c>
      <c r="AH61" s="52">
        <f t="shared" ref="AH61:AH92" si="43">IF(UPPER(TRIM($W61&amp;""))="CANCELLED",0,IF(AND(NOT(UPPER(TRIM($AD61&amp;""))="EMPTY"),IFERROR(0+TRIM($N61&amp;""),0)=2),IFERROR(0+$M61,0),0))</f>
        <v>0</v>
      </c>
      <c r="AI61" s="52">
        <f t="shared" ref="AI61:AI92" si="44">IF(UPPER(TRIM($W61&amp;""))="CANCELLED",0,IF(AND(UPPER(TRIM($AD61&amp;""))="EMPTY",IFERROR(0+TRIM($N61&amp;""),0)=2),IFERROR(0+$M61,0),0))</f>
        <v>0</v>
      </c>
      <c r="AJ61" s="52">
        <f t="shared" ref="AJ61:AJ92" si="45">AH61+AI61</f>
        <v>0</v>
      </c>
      <c r="AK61" s="52">
        <f t="shared" ref="AK61:AK92" si="46">IF(UPPER(TRIM($W61&amp;""))="CANCELLED",0,IF(AND(NOT(UPPER(TRIM($AD61&amp;""))="EMPTY"),IFERROR(0+TRIM($N61&amp;""),0)=4),IFERROR(0+$M61,0),0))</f>
        <v>4</v>
      </c>
      <c r="AL61" s="52">
        <f t="shared" ref="AL61:AL92" si="47">IF(UPPER(TRIM($W61&amp;""))="CANCELLED",0,IF(AND(UPPER(TRIM($AD61&amp;""))="EMPTY",IFERROR(0+TRIM($N61&amp;""),0)=4),IFERROR(0+$M61,0),0))</f>
        <v>0</v>
      </c>
      <c r="AM61" s="52">
        <f t="shared" ref="AM61:AM92" si="48">AK61+AL61</f>
        <v>4</v>
      </c>
      <c r="AN61" s="52">
        <f t="shared" ref="AN61:AN92" si="49">IF(UPPER(TRIM($W61&amp;""))="CANCELLED",0,IF(UPPER(TRIM($AD61&amp;""))="EMPTY",0,IFERROR((IFERROR(0+$M61,0))*IF(IFERROR(0+TRIM($N61&amp;""),0)=4,2,IF(IFERROR(0+TRIM($N61&amp;""),0)=2,1,0)),0)))</f>
        <v>8</v>
      </c>
      <c r="AO61" s="52">
        <f t="shared" ref="AO61:AO92" si="50">IF(UPPER(TRIM($W61&amp;""))="CANCELLED",0,IF(UPPER(TRIM($AD61&amp;""))="EMPTY",IFERROR((IFERROR(0+$M61,0))*IF(IFERROR(0+TRIM($N61&amp;""),0)=4,2,IF(IFERROR(0+TRIM($N61&amp;""),0)=2,1,0)),0),0))</f>
        <v>0</v>
      </c>
      <c r="AP61" s="52">
        <f t="shared" ref="AP61:AP92" si="51">AN61+AO61</f>
        <v>8</v>
      </c>
      <c r="AQ61" s="52">
        <f t="shared" ref="AQ61:AQ92" si="52">IF(UPPER(TRIM($W61&amp;""))="CANCELLED",0,IF(UPPER(TRIM($AD61&amp;""))="EMPTY",0,IFERROR(0+$P61,0)))</f>
        <v>80000</v>
      </c>
      <c r="AR61" s="52">
        <f t="shared" ref="AR61:AR92" si="53">IF(UPPER(TRIM($W61&amp;""))="CANCELLED",0,IF(UPPER(TRIM($AD61&amp;""))="EMPTY",IFERROR(0+$P61,0),0))</f>
        <v>0</v>
      </c>
      <c r="AS61" s="52">
        <f t="shared" ref="AS61:AS92" si="54">AQ61+AR61</f>
        <v>80000</v>
      </c>
    </row>
    <row r="62" spans="1:45">
      <c r="A62" s="52">
        <v>37</v>
      </c>
      <c r="B62" s="52" t="s">
        <v>100</v>
      </c>
      <c r="C62" s="52" t="s">
        <v>190</v>
      </c>
      <c r="D62" s="54">
        <v>46274</v>
      </c>
      <c r="E62" s="54">
        <v>46276</v>
      </c>
      <c r="F62" s="54">
        <v>46273</v>
      </c>
      <c r="G62" s="54">
        <v>46282</v>
      </c>
      <c r="H62" s="52" t="s">
        <v>102</v>
      </c>
      <c r="I62" s="52" t="s">
        <v>194</v>
      </c>
      <c r="J62" s="52" t="s">
        <v>104</v>
      </c>
      <c r="K62" s="52" t="s">
        <v>105</v>
      </c>
      <c r="L62" s="52" t="s">
        <v>106</v>
      </c>
      <c r="M62" s="52">
        <v>2</v>
      </c>
      <c r="N62" s="52">
        <v>2</v>
      </c>
      <c r="O62" s="52" t="s">
        <v>107</v>
      </c>
      <c r="P62" s="52">
        <v>8000</v>
      </c>
      <c r="Q62" s="52" t="s">
        <v>108</v>
      </c>
      <c r="R62" s="52" t="s">
        <v>109</v>
      </c>
      <c r="S62" s="52" t="s">
        <v>110</v>
      </c>
      <c r="T62" s="52" t="s">
        <v>111</v>
      </c>
      <c r="U62" s="52" t="s">
        <v>119</v>
      </c>
      <c r="V62" s="52" t="s">
        <v>113</v>
      </c>
      <c r="W62" s="52" t="s">
        <v>114</v>
      </c>
      <c r="X62" s="52"/>
      <c r="Y62" s="52">
        <f t="shared" si="37"/>
        <v>2</v>
      </c>
      <c r="Z62" s="52">
        <f t="shared" si="38"/>
        <v>2</v>
      </c>
      <c r="AA62" s="52">
        <f t="shared" si="39"/>
        <v>8000</v>
      </c>
      <c r="AB62" s="52" t="s">
        <v>192</v>
      </c>
      <c r="AC62" s="52" t="s">
        <v>195</v>
      </c>
      <c r="AD62" s="52" t="s">
        <v>121</v>
      </c>
      <c r="AE62" s="52">
        <f t="shared" si="40"/>
        <v>0</v>
      </c>
      <c r="AF62" s="52">
        <f t="shared" si="41"/>
        <v>2</v>
      </c>
      <c r="AG62" s="52">
        <f t="shared" si="42"/>
        <v>2</v>
      </c>
      <c r="AH62" s="52">
        <f t="shared" si="43"/>
        <v>0</v>
      </c>
      <c r="AI62" s="52">
        <f t="shared" si="44"/>
        <v>2</v>
      </c>
      <c r="AJ62" s="52">
        <f t="shared" si="45"/>
        <v>2</v>
      </c>
      <c r="AK62" s="52">
        <f t="shared" si="46"/>
        <v>0</v>
      </c>
      <c r="AL62" s="52">
        <f t="shared" si="47"/>
        <v>0</v>
      </c>
      <c r="AM62" s="52">
        <f t="shared" si="48"/>
        <v>0</v>
      </c>
      <c r="AN62" s="52">
        <f t="shared" si="49"/>
        <v>0</v>
      </c>
      <c r="AO62" s="52">
        <f t="shared" si="50"/>
        <v>2</v>
      </c>
      <c r="AP62" s="52">
        <f t="shared" si="51"/>
        <v>2</v>
      </c>
      <c r="AQ62" s="52">
        <f t="shared" si="52"/>
        <v>0</v>
      </c>
      <c r="AR62" s="52">
        <f t="shared" si="53"/>
        <v>8000</v>
      </c>
      <c r="AS62" s="52">
        <f t="shared" si="54"/>
        <v>8000</v>
      </c>
    </row>
    <row r="63" spans="1:45">
      <c r="A63" s="52">
        <v>37</v>
      </c>
      <c r="B63" s="52" t="s">
        <v>127</v>
      </c>
      <c r="C63" s="52" t="s">
        <v>196</v>
      </c>
      <c r="D63" s="54">
        <v>46275</v>
      </c>
      <c r="E63" s="54">
        <v>46277</v>
      </c>
      <c r="F63" s="54">
        <v>46274</v>
      </c>
      <c r="G63" s="54">
        <v>46283</v>
      </c>
      <c r="H63" s="52" t="s">
        <v>102</v>
      </c>
      <c r="I63" s="52" t="s">
        <v>197</v>
      </c>
      <c r="J63" s="52" t="s">
        <v>104</v>
      </c>
      <c r="K63" s="52" t="s">
        <v>130</v>
      </c>
      <c r="L63" s="52" t="s">
        <v>106</v>
      </c>
      <c r="M63" s="52">
        <v>5</v>
      </c>
      <c r="N63" s="52">
        <v>2</v>
      </c>
      <c r="O63" s="52" t="s">
        <v>107</v>
      </c>
      <c r="P63" s="52">
        <v>91000</v>
      </c>
      <c r="Q63" s="52" t="s">
        <v>131</v>
      </c>
      <c r="R63" s="52" t="s">
        <v>109</v>
      </c>
      <c r="S63" s="52" t="s">
        <v>132</v>
      </c>
      <c r="T63" s="52" t="s">
        <v>133</v>
      </c>
      <c r="U63" s="52" t="s">
        <v>112</v>
      </c>
      <c r="V63" s="52" t="s">
        <v>113</v>
      </c>
      <c r="W63" s="52" t="s">
        <v>114</v>
      </c>
      <c r="X63" s="52"/>
      <c r="Y63" s="52">
        <f t="shared" si="37"/>
        <v>5</v>
      </c>
      <c r="Z63" s="52">
        <f t="shared" si="38"/>
        <v>5</v>
      </c>
      <c r="AA63" s="52">
        <f t="shared" si="39"/>
        <v>91000</v>
      </c>
      <c r="AB63" s="52" t="s">
        <v>192</v>
      </c>
      <c r="AC63" s="52" t="s">
        <v>198</v>
      </c>
      <c r="AD63" s="52" t="s">
        <v>126</v>
      </c>
      <c r="AE63" s="52">
        <f t="shared" si="40"/>
        <v>5</v>
      </c>
      <c r="AF63" s="52">
        <f t="shared" si="41"/>
        <v>0</v>
      </c>
      <c r="AG63" s="52">
        <f t="shared" si="42"/>
        <v>5</v>
      </c>
      <c r="AH63" s="52">
        <f t="shared" si="43"/>
        <v>5</v>
      </c>
      <c r="AI63" s="52">
        <f t="shared" si="44"/>
        <v>0</v>
      </c>
      <c r="AJ63" s="52">
        <f t="shared" si="45"/>
        <v>5</v>
      </c>
      <c r="AK63" s="52">
        <f t="shared" si="46"/>
        <v>0</v>
      </c>
      <c r="AL63" s="52">
        <f t="shared" si="47"/>
        <v>0</v>
      </c>
      <c r="AM63" s="52">
        <f t="shared" si="48"/>
        <v>0</v>
      </c>
      <c r="AN63" s="52">
        <f t="shared" si="49"/>
        <v>5</v>
      </c>
      <c r="AO63" s="52">
        <f t="shared" si="50"/>
        <v>0</v>
      </c>
      <c r="AP63" s="52">
        <f t="shared" si="51"/>
        <v>5</v>
      </c>
      <c r="AQ63" s="52">
        <f t="shared" si="52"/>
        <v>91000</v>
      </c>
      <c r="AR63" s="52">
        <f t="shared" si="53"/>
        <v>0</v>
      </c>
      <c r="AS63" s="52">
        <f t="shared" si="54"/>
        <v>91000</v>
      </c>
    </row>
    <row r="64" spans="1:45">
      <c r="A64" s="52">
        <v>37</v>
      </c>
      <c r="B64" s="52" t="s">
        <v>127</v>
      </c>
      <c r="C64" s="52" t="s">
        <v>196</v>
      </c>
      <c r="D64" s="54">
        <v>46275</v>
      </c>
      <c r="E64" s="54">
        <v>46277</v>
      </c>
      <c r="F64" s="54">
        <v>46274</v>
      </c>
      <c r="G64" s="54">
        <v>46283</v>
      </c>
      <c r="H64" s="52" t="s">
        <v>102</v>
      </c>
      <c r="I64" s="52" t="s">
        <v>199</v>
      </c>
      <c r="J64" s="52" t="s">
        <v>104</v>
      </c>
      <c r="K64" s="52" t="s">
        <v>130</v>
      </c>
      <c r="L64" s="52" t="s">
        <v>106</v>
      </c>
      <c r="M64" s="52">
        <v>1</v>
      </c>
      <c r="N64" s="52">
        <v>4</v>
      </c>
      <c r="O64" s="52" t="s">
        <v>118</v>
      </c>
      <c r="P64" s="52">
        <v>7000</v>
      </c>
      <c r="Q64" s="52" t="s">
        <v>131</v>
      </c>
      <c r="R64" s="52" t="s">
        <v>109</v>
      </c>
      <c r="S64" s="52" t="s">
        <v>132</v>
      </c>
      <c r="T64" s="52" t="s">
        <v>133</v>
      </c>
      <c r="U64" s="52" t="s">
        <v>134</v>
      </c>
      <c r="V64" s="52" t="s">
        <v>113</v>
      </c>
      <c r="W64" s="52" t="s">
        <v>114</v>
      </c>
      <c r="X64" s="52"/>
      <c r="Y64" s="52">
        <f t="shared" si="37"/>
        <v>1</v>
      </c>
      <c r="Z64" s="52">
        <f t="shared" si="38"/>
        <v>2</v>
      </c>
      <c r="AA64" s="52">
        <f t="shared" si="39"/>
        <v>7000</v>
      </c>
      <c r="AB64" s="52" t="s">
        <v>192</v>
      </c>
      <c r="AC64" s="52" t="s">
        <v>200</v>
      </c>
      <c r="AD64" s="52" t="s">
        <v>121</v>
      </c>
      <c r="AE64" s="52">
        <f t="shared" si="40"/>
        <v>0</v>
      </c>
      <c r="AF64" s="52">
        <f t="shared" si="41"/>
        <v>1</v>
      </c>
      <c r="AG64" s="52">
        <f t="shared" si="42"/>
        <v>1</v>
      </c>
      <c r="AH64" s="52">
        <f t="shared" si="43"/>
        <v>0</v>
      </c>
      <c r="AI64" s="52">
        <f t="shared" si="44"/>
        <v>0</v>
      </c>
      <c r="AJ64" s="52">
        <f t="shared" si="45"/>
        <v>0</v>
      </c>
      <c r="AK64" s="52">
        <f t="shared" si="46"/>
        <v>0</v>
      </c>
      <c r="AL64" s="52">
        <f t="shared" si="47"/>
        <v>1</v>
      </c>
      <c r="AM64" s="52">
        <f t="shared" si="48"/>
        <v>1</v>
      </c>
      <c r="AN64" s="52">
        <f t="shared" si="49"/>
        <v>0</v>
      </c>
      <c r="AO64" s="52">
        <f t="shared" si="50"/>
        <v>2</v>
      </c>
      <c r="AP64" s="52">
        <f t="shared" si="51"/>
        <v>2</v>
      </c>
      <c r="AQ64" s="52">
        <f t="shared" si="52"/>
        <v>0</v>
      </c>
      <c r="AR64" s="52">
        <f t="shared" si="53"/>
        <v>7000</v>
      </c>
      <c r="AS64" s="52">
        <f t="shared" si="54"/>
        <v>7000</v>
      </c>
    </row>
    <row r="65" spans="1:45">
      <c r="A65" s="52">
        <v>37</v>
      </c>
      <c r="B65" s="52" t="s">
        <v>141</v>
      </c>
      <c r="C65" s="52" t="s">
        <v>201</v>
      </c>
      <c r="D65" s="54">
        <v>46277</v>
      </c>
      <c r="E65" s="54">
        <v>46278</v>
      </c>
      <c r="F65" s="54">
        <v>46276</v>
      </c>
      <c r="G65" s="54"/>
      <c r="H65" s="52" t="s">
        <v>102</v>
      </c>
      <c r="I65" s="52" t="s">
        <v>202</v>
      </c>
      <c r="J65" s="52" t="s">
        <v>104</v>
      </c>
      <c r="K65" s="52" t="s">
        <v>144</v>
      </c>
      <c r="L65" s="52" t="s">
        <v>106</v>
      </c>
      <c r="M65" s="52">
        <v>2</v>
      </c>
      <c r="N65" s="52">
        <v>4</v>
      </c>
      <c r="O65" s="52" t="s">
        <v>123</v>
      </c>
      <c r="P65" s="52">
        <v>36000</v>
      </c>
      <c r="Q65" s="52" t="s">
        <v>111</v>
      </c>
      <c r="R65" s="52" t="s">
        <v>109</v>
      </c>
      <c r="S65" s="52" t="s">
        <v>145</v>
      </c>
      <c r="T65" s="52" t="s">
        <v>108</v>
      </c>
      <c r="U65" s="52" t="s">
        <v>124</v>
      </c>
      <c r="V65" s="52" t="s">
        <v>113</v>
      </c>
      <c r="W65" s="52" t="s">
        <v>114</v>
      </c>
      <c r="X65" s="52"/>
      <c r="Y65" s="52">
        <f t="shared" si="37"/>
        <v>2</v>
      </c>
      <c r="Z65" s="52">
        <f t="shared" si="38"/>
        <v>4</v>
      </c>
      <c r="AA65" s="52">
        <f t="shared" si="39"/>
        <v>36000</v>
      </c>
      <c r="AB65" s="52" t="s">
        <v>192</v>
      </c>
      <c r="AC65" s="52" t="s">
        <v>203</v>
      </c>
      <c r="AD65" s="52" t="s">
        <v>126</v>
      </c>
      <c r="AE65" s="52">
        <f t="shared" si="40"/>
        <v>2</v>
      </c>
      <c r="AF65" s="52">
        <f t="shared" si="41"/>
        <v>0</v>
      </c>
      <c r="AG65" s="52">
        <f t="shared" si="42"/>
        <v>2</v>
      </c>
      <c r="AH65" s="52">
        <f t="shared" si="43"/>
        <v>0</v>
      </c>
      <c r="AI65" s="52">
        <f t="shared" si="44"/>
        <v>0</v>
      </c>
      <c r="AJ65" s="52">
        <f t="shared" si="45"/>
        <v>0</v>
      </c>
      <c r="AK65" s="52">
        <f t="shared" si="46"/>
        <v>2</v>
      </c>
      <c r="AL65" s="52">
        <f t="shared" si="47"/>
        <v>0</v>
      </c>
      <c r="AM65" s="52">
        <f t="shared" si="48"/>
        <v>2</v>
      </c>
      <c r="AN65" s="52">
        <f t="shared" si="49"/>
        <v>4</v>
      </c>
      <c r="AO65" s="52">
        <f t="shared" si="50"/>
        <v>0</v>
      </c>
      <c r="AP65" s="52">
        <f t="shared" si="51"/>
        <v>4</v>
      </c>
      <c r="AQ65" s="52">
        <f t="shared" si="52"/>
        <v>36000</v>
      </c>
      <c r="AR65" s="52">
        <f t="shared" si="53"/>
        <v>0</v>
      </c>
      <c r="AS65" s="52">
        <f t="shared" si="54"/>
        <v>36000</v>
      </c>
    </row>
    <row r="66" spans="1:45">
      <c r="A66" s="52">
        <v>37</v>
      </c>
      <c r="B66" s="52" t="s">
        <v>141</v>
      </c>
      <c r="C66" s="52" t="s">
        <v>201</v>
      </c>
      <c r="D66" s="54">
        <v>46277</v>
      </c>
      <c r="E66" s="54">
        <v>46278</v>
      </c>
      <c r="F66" s="54">
        <v>46276</v>
      </c>
      <c r="G66" s="54"/>
      <c r="H66" s="52" t="s">
        <v>102</v>
      </c>
      <c r="I66" s="52" t="s">
        <v>204</v>
      </c>
      <c r="J66" s="52" t="s">
        <v>104</v>
      </c>
      <c r="K66" s="52" t="s">
        <v>144</v>
      </c>
      <c r="L66" s="52" t="s">
        <v>106</v>
      </c>
      <c r="M66" s="52">
        <v>3</v>
      </c>
      <c r="N66" s="52">
        <v>2</v>
      </c>
      <c r="O66" s="52" t="s">
        <v>107</v>
      </c>
      <c r="P66" s="52">
        <v>12000</v>
      </c>
      <c r="Q66" s="52" t="s">
        <v>111</v>
      </c>
      <c r="R66" s="52" t="s">
        <v>109</v>
      </c>
      <c r="S66" s="52" t="s">
        <v>145</v>
      </c>
      <c r="T66" s="52" t="s">
        <v>108</v>
      </c>
      <c r="U66" s="52" t="s">
        <v>119</v>
      </c>
      <c r="V66" s="52" t="s">
        <v>113</v>
      </c>
      <c r="W66" s="52" t="s">
        <v>114</v>
      </c>
      <c r="X66" s="52"/>
      <c r="Y66" s="52">
        <f t="shared" si="37"/>
        <v>3</v>
      </c>
      <c r="Z66" s="52">
        <f t="shared" si="38"/>
        <v>3</v>
      </c>
      <c r="AA66" s="52">
        <f t="shared" si="39"/>
        <v>12000</v>
      </c>
      <c r="AB66" s="52" t="s">
        <v>192</v>
      </c>
      <c r="AC66" s="52" t="s">
        <v>205</v>
      </c>
      <c r="AD66" s="52" t="s">
        <v>121</v>
      </c>
      <c r="AE66" s="52">
        <f t="shared" si="40"/>
        <v>0</v>
      </c>
      <c r="AF66" s="52">
        <f t="shared" si="41"/>
        <v>3</v>
      </c>
      <c r="AG66" s="52">
        <f t="shared" si="42"/>
        <v>3</v>
      </c>
      <c r="AH66" s="52">
        <f t="shared" si="43"/>
        <v>0</v>
      </c>
      <c r="AI66" s="52">
        <f t="shared" si="44"/>
        <v>3</v>
      </c>
      <c r="AJ66" s="52">
        <f t="shared" si="45"/>
        <v>3</v>
      </c>
      <c r="AK66" s="52">
        <f t="shared" si="46"/>
        <v>0</v>
      </c>
      <c r="AL66" s="52">
        <f t="shared" si="47"/>
        <v>0</v>
      </c>
      <c r="AM66" s="52">
        <f t="shared" si="48"/>
        <v>0</v>
      </c>
      <c r="AN66" s="52">
        <f t="shared" si="49"/>
        <v>0</v>
      </c>
      <c r="AO66" s="52">
        <f t="shared" si="50"/>
        <v>3</v>
      </c>
      <c r="AP66" s="52">
        <f t="shared" si="51"/>
        <v>3</v>
      </c>
      <c r="AQ66" s="52">
        <f t="shared" si="52"/>
        <v>0</v>
      </c>
      <c r="AR66" s="52">
        <f t="shared" si="53"/>
        <v>12000</v>
      </c>
      <c r="AS66" s="52">
        <f t="shared" si="54"/>
        <v>12000</v>
      </c>
    </row>
    <row r="67" spans="1:45">
      <c r="A67" s="52">
        <v>37</v>
      </c>
      <c r="B67" s="52" t="s">
        <v>141</v>
      </c>
      <c r="C67" s="52" t="s">
        <v>201</v>
      </c>
      <c r="D67" s="54">
        <v>46277</v>
      </c>
      <c r="E67" s="54">
        <v>46278</v>
      </c>
      <c r="F67" s="54">
        <v>46276</v>
      </c>
      <c r="G67" s="54"/>
      <c r="H67" s="52" t="s">
        <v>102</v>
      </c>
      <c r="I67" s="52" t="s">
        <v>206</v>
      </c>
      <c r="J67" s="52" t="s">
        <v>104</v>
      </c>
      <c r="K67" s="52" t="s">
        <v>144</v>
      </c>
      <c r="L67" s="52" t="s">
        <v>106</v>
      </c>
      <c r="M67" s="52">
        <v>1</v>
      </c>
      <c r="N67" s="52">
        <v>4</v>
      </c>
      <c r="O67" s="52" t="s">
        <v>118</v>
      </c>
      <c r="P67" s="52">
        <v>22000</v>
      </c>
      <c r="Q67" s="52" t="s">
        <v>111</v>
      </c>
      <c r="R67" s="52" t="s">
        <v>109</v>
      </c>
      <c r="S67" s="52" t="s">
        <v>145</v>
      </c>
      <c r="T67" s="52" t="s">
        <v>108</v>
      </c>
      <c r="U67" s="52" t="s">
        <v>112</v>
      </c>
      <c r="V67" s="52" t="s">
        <v>113</v>
      </c>
      <c r="W67" s="52" t="s">
        <v>138</v>
      </c>
      <c r="X67" s="52" t="s">
        <v>207</v>
      </c>
      <c r="Y67" s="52">
        <f t="shared" si="37"/>
        <v>0</v>
      </c>
      <c r="Z67" s="52">
        <f t="shared" si="38"/>
        <v>0</v>
      </c>
      <c r="AA67" s="52">
        <f t="shared" si="39"/>
        <v>0</v>
      </c>
      <c r="AB67" s="52" t="s">
        <v>192</v>
      </c>
      <c r="AC67" s="52" t="s">
        <v>208</v>
      </c>
      <c r="AD67" s="52" t="s">
        <v>126</v>
      </c>
      <c r="AE67" s="52">
        <f t="shared" si="40"/>
        <v>0</v>
      </c>
      <c r="AF67" s="52">
        <f t="shared" si="41"/>
        <v>0</v>
      </c>
      <c r="AG67" s="52">
        <f t="shared" si="42"/>
        <v>0</v>
      </c>
      <c r="AH67" s="52">
        <f t="shared" si="43"/>
        <v>0</v>
      </c>
      <c r="AI67" s="52">
        <f t="shared" si="44"/>
        <v>0</v>
      </c>
      <c r="AJ67" s="52">
        <f t="shared" si="45"/>
        <v>0</v>
      </c>
      <c r="AK67" s="52">
        <f t="shared" si="46"/>
        <v>0</v>
      </c>
      <c r="AL67" s="52">
        <f t="shared" si="47"/>
        <v>0</v>
      </c>
      <c r="AM67" s="52">
        <f t="shared" si="48"/>
        <v>0</v>
      </c>
      <c r="AN67" s="52">
        <f t="shared" si="49"/>
        <v>0</v>
      </c>
      <c r="AO67" s="52">
        <f t="shared" si="50"/>
        <v>0</v>
      </c>
      <c r="AP67" s="52">
        <f t="shared" si="51"/>
        <v>0</v>
      </c>
      <c r="AQ67" s="52">
        <f t="shared" si="52"/>
        <v>0</v>
      </c>
      <c r="AR67" s="52">
        <f t="shared" si="53"/>
        <v>0</v>
      </c>
      <c r="AS67" s="52">
        <f t="shared" si="54"/>
        <v>0</v>
      </c>
    </row>
    <row r="68" spans="1:45">
      <c r="A68" s="52">
        <v>37</v>
      </c>
      <c r="B68" s="52" t="s">
        <v>100</v>
      </c>
      <c r="C68" s="52" t="s">
        <v>190</v>
      </c>
      <c r="D68" s="54">
        <v>46274</v>
      </c>
      <c r="E68" s="54">
        <v>46276</v>
      </c>
      <c r="F68" s="54">
        <v>46273</v>
      </c>
      <c r="G68" s="54">
        <v>46282</v>
      </c>
      <c r="H68" s="52" t="s">
        <v>102</v>
      </c>
      <c r="I68" s="52" t="s">
        <v>209</v>
      </c>
      <c r="J68" s="52" t="s">
        <v>104</v>
      </c>
      <c r="K68" s="52" t="s">
        <v>105</v>
      </c>
      <c r="L68" s="52" t="s">
        <v>106</v>
      </c>
      <c r="M68" s="52">
        <v>2</v>
      </c>
      <c r="N68" s="52">
        <v>2</v>
      </c>
      <c r="O68" s="52" t="s">
        <v>107</v>
      </c>
      <c r="P68" s="52">
        <v>30000</v>
      </c>
      <c r="Q68" s="52" t="s">
        <v>108</v>
      </c>
      <c r="R68" s="52" t="s">
        <v>109</v>
      </c>
      <c r="S68" s="52"/>
      <c r="T68" s="52" t="s">
        <v>111</v>
      </c>
      <c r="U68" s="52" t="s">
        <v>134</v>
      </c>
      <c r="V68" s="52" t="s">
        <v>210</v>
      </c>
      <c r="W68" s="52" t="s">
        <v>114</v>
      </c>
      <c r="X68" s="52"/>
      <c r="Y68" s="52">
        <f t="shared" si="37"/>
        <v>2</v>
      </c>
      <c r="Z68" s="52">
        <f t="shared" si="38"/>
        <v>2</v>
      </c>
      <c r="AA68" s="52">
        <f t="shared" si="39"/>
        <v>30000</v>
      </c>
      <c r="AB68" s="52" t="s">
        <v>192</v>
      </c>
      <c r="AC68" s="52" t="s">
        <v>211</v>
      </c>
      <c r="AD68" s="52" t="s">
        <v>126</v>
      </c>
      <c r="AE68" s="52">
        <f t="shared" si="40"/>
        <v>2</v>
      </c>
      <c r="AF68" s="52">
        <f t="shared" si="41"/>
        <v>0</v>
      </c>
      <c r="AG68" s="52">
        <f t="shared" si="42"/>
        <v>2</v>
      </c>
      <c r="AH68" s="52">
        <f t="shared" si="43"/>
        <v>2</v>
      </c>
      <c r="AI68" s="52">
        <f t="shared" si="44"/>
        <v>0</v>
      </c>
      <c r="AJ68" s="52">
        <f t="shared" si="45"/>
        <v>2</v>
      </c>
      <c r="AK68" s="52">
        <f t="shared" si="46"/>
        <v>0</v>
      </c>
      <c r="AL68" s="52">
        <f t="shared" si="47"/>
        <v>0</v>
      </c>
      <c r="AM68" s="52">
        <f t="shared" si="48"/>
        <v>0</v>
      </c>
      <c r="AN68" s="52">
        <f t="shared" si="49"/>
        <v>2</v>
      </c>
      <c r="AO68" s="52">
        <f t="shared" si="50"/>
        <v>0</v>
      </c>
      <c r="AP68" s="52">
        <f t="shared" si="51"/>
        <v>2</v>
      </c>
      <c r="AQ68" s="52">
        <f t="shared" si="52"/>
        <v>30000</v>
      </c>
      <c r="AR68" s="52">
        <f t="shared" si="53"/>
        <v>0</v>
      </c>
      <c r="AS68" s="52">
        <f t="shared" si="54"/>
        <v>30000</v>
      </c>
    </row>
    <row r="69" spans="1:45">
      <c r="A69" s="52">
        <v>37</v>
      </c>
      <c r="B69" s="52" t="s">
        <v>127</v>
      </c>
      <c r="C69" s="52" t="s">
        <v>196</v>
      </c>
      <c r="D69" s="54">
        <v>46275</v>
      </c>
      <c r="E69" s="54">
        <v>46277</v>
      </c>
      <c r="F69" s="54">
        <v>46274</v>
      </c>
      <c r="G69" s="54">
        <v>46283</v>
      </c>
      <c r="H69" s="52" t="s">
        <v>102</v>
      </c>
      <c r="I69" s="52" t="s">
        <v>212</v>
      </c>
      <c r="J69" s="52" t="s">
        <v>104</v>
      </c>
      <c r="K69" s="52" t="s">
        <v>130</v>
      </c>
      <c r="L69" s="52" t="s">
        <v>106</v>
      </c>
      <c r="M69" s="52">
        <v>2</v>
      </c>
      <c r="N69" s="52">
        <v>3</v>
      </c>
      <c r="O69" s="52"/>
      <c r="P69" s="52">
        <v>25000</v>
      </c>
      <c r="Q69" s="52" t="s">
        <v>131</v>
      </c>
      <c r="R69" s="52" t="s">
        <v>109</v>
      </c>
      <c r="S69" s="52" t="s">
        <v>132</v>
      </c>
      <c r="T69" s="52" t="s">
        <v>133</v>
      </c>
      <c r="U69" s="52" t="s">
        <v>124</v>
      </c>
      <c r="V69" s="52" t="s">
        <v>213</v>
      </c>
      <c r="W69" s="52" t="s">
        <v>114</v>
      </c>
      <c r="X69" s="52"/>
      <c r="Y69" s="52">
        <f t="shared" si="37"/>
        <v>2</v>
      </c>
      <c r="Z69" s="52">
        <f t="shared" si="38"/>
        <v>0</v>
      </c>
      <c r="AA69" s="52">
        <f t="shared" si="39"/>
        <v>25000</v>
      </c>
      <c r="AB69" s="52" t="s">
        <v>192</v>
      </c>
      <c r="AC69" s="52" t="s">
        <v>214</v>
      </c>
      <c r="AD69" s="52" t="s">
        <v>126</v>
      </c>
      <c r="AE69" s="52">
        <f t="shared" si="40"/>
        <v>2</v>
      </c>
      <c r="AF69" s="52">
        <f t="shared" si="41"/>
        <v>0</v>
      </c>
      <c r="AG69" s="52">
        <f t="shared" si="42"/>
        <v>2</v>
      </c>
      <c r="AH69" s="52">
        <f t="shared" si="43"/>
        <v>0</v>
      </c>
      <c r="AI69" s="52">
        <f t="shared" si="44"/>
        <v>0</v>
      </c>
      <c r="AJ69" s="52">
        <f t="shared" si="45"/>
        <v>0</v>
      </c>
      <c r="AK69" s="52">
        <f t="shared" si="46"/>
        <v>0</v>
      </c>
      <c r="AL69" s="52">
        <f t="shared" si="47"/>
        <v>0</v>
      </c>
      <c r="AM69" s="52">
        <f t="shared" si="48"/>
        <v>0</v>
      </c>
      <c r="AN69" s="52">
        <f t="shared" si="49"/>
        <v>0</v>
      </c>
      <c r="AO69" s="52">
        <f t="shared" si="50"/>
        <v>0</v>
      </c>
      <c r="AP69" s="52">
        <f t="shared" si="51"/>
        <v>0</v>
      </c>
      <c r="AQ69" s="52">
        <f t="shared" si="52"/>
        <v>25000</v>
      </c>
      <c r="AR69" s="52">
        <f t="shared" si="53"/>
        <v>0</v>
      </c>
      <c r="AS69" s="52">
        <f t="shared" si="54"/>
        <v>25000</v>
      </c>
    </row>
    <row r="70" spans="1:45">
      <c r="A70" s="52">
        <v>37</v>
      </c>
      <c r="B70" s="52" t="s">
        <v>100</v>
      </c>
      <c r="C70" s="52" t="s">
        <v>190</v>
      </c>
      <c r="D70" s="54">
        <v>46275</v>
      </c>
      <c r="E70" s="54">
        <v>46276</v>
      </c>
      <c r="F70" s="54">
        <v>46273</v>
      </c>
      <c r="G70" s="54">
        <v>46282</v>
      </c>
      <c r="H70" s="52" t="s">
        <v>215</v>
      </c>
      <c r="I70" s="52" t="s">
        <v>216</v>
      </c>
      <c r="J70" s="52" t="s">
        <v>104</v>
      </c>
      <c r="K70" s="52" t="s">
        <v>105</v>
      </c>
      <c r="L70" s="52" t="s">
        <v>106</v>
      </c>
      <c r="M70" s="52">
        <v>4</v>
      </c>
      <c r="N70" s="52">
        <v>4</v>
      </c>
      <c r="O70" s="52" t="s">
        <v>118</v>
      </c>
      <c r="P70" s="52">
        <v>60000</v>
      </c>
      <c r="Q70" s="52" t="s">
        <v>108</v>
      </c>
      <c r="R70" s="52" t="s">
        <v>109</v>
      </c>
      <c r="S70" s="52" t="s">
        <v>110</v>
      </c>
      <c r="T70" s="52" t="s">
        <v>111</v>
      </c>
      <c r="U70" s="52" t="s">
        <v>112</v>
      </c>
      <c r="V70" s="52" t="s">
        <v>113</v>
      </c>
      <c r="W70" s="52" t="s">
        <v>114</v>
      </c>
      <c r="X70" s="52"/>
      <c r="Y70" s="52">
        <f t="shared" si="37"/>
        <v>4</v>
      </c>
      <c r="Z70" s="52">
        <f t="shared" si="38"/>
        <v>8</v>
      </c>
      <c r="AA70" s="52">
        <f t="shared" si="39"/>
        <v>60000</v>
      </c>
      <c r="AB70" s="52" t="s">
        <v>192</v>
      </c>
      <c r="AC70" s="52" t="s">
        <v>217</v>
      </c>
      <c r="AD70" s="52" t="s">
        <v>121</v>
      </c>
      <c r="AE70" s="52">
        <f t="shared" si="40"/>
        <v>0</v>
      </c>
      <c r="AF70" s="52">
        <f t="shared" si="41"/>
        <v>4</v>
      </c>
      <c r="AG70" s="52">
        <f t="shared" si="42"/>
        <v>4</v>
      </c>
      <c r="AH70" s="52">
        <f t="shared" si="43"/>
        <v>0</v>
      </c>
      <c r="AI70" s="52">
        <f t="shared" si="44"/>
        <v>0</v>
      </c>
      <c r="AJ70" s="52">
        <f t="shared" si="45"/>
        <v>0</v>
      </c>
      <c r="AK70" s="52">
        <f t="shared" si="46"/>
        <v>0</v>
      </c>
      <c r="AL70" s="52">
        <f t="shared" si="47"/>
        <v>4</v>
      </c>
      <c r="AM70" s="52">
        <f t="shared" si="48"/>
        <v>4</v>
      </c>
      <c r="AN70" s="52">
        <f t="shared" si="49"/>
        <v>0</v>
      </c>
      <c r="AO70" s="52">
        <f t="shared" si="50"/>
        <v>8</v>
      </c>
      <c r="AP70" s="52">
        <f t="shared" si="51"/>
        <v>8</v>
      </c>
      <c r="AQ70" s="52">
        <f t="shared" si="52"/>
        <v>0</v>
      </c>
      <c r="AR70" s="52">
        <f t="shared" si="53"/>
        <v>60000</v>
      </c>
      <c r="AS70" s="52">
        <f t="shared" si="54"/>
        <v>60000</v>
      </c>
    </row>
    <row r="71" spans="1:45">
      <c r="A71" s="52">
        <v>37</v>
      </c>
      <c r="B71" s="52"/>
      <c r="C71" s="52"/>
      <c r="D71" s="54"/>
      <c r="E71" s="54"/>
      <c r="F71" s="54"/>
      <c r="G71" s="54"/>
      <c r="H71" s="52"/>
      <c r="I71" s="52"/>
      <c r="J71" s="52"/>
      <c r="K71" s="52"/>
      <c r="L71" s="52"/>
      <c r="M71" s="52"/>
      <c r="N71" s="52"/>
      <c r="O71" s="52"/>
      <c r="P71" s="52"/>
      <c r="Q71" s="52"/>
      <c r="R71" s="52"/>
      <c r="S71" s="52"/>
      <c r="T71" s="52"/>
      <c r="U71" s="52"/>
      <c r="V71" s="52"/>
      <c r="W71" s="52"/>
      <c r="X71" s="52"/>
      <c r="Y71" s="52">
        <f t="shared" si="37"/>
        <v>0</v>
      </c>
      <c r="Z71" s="52">
        <f t="shared" si="38"/>
        <v>0</v>
      </c>
      <c r="AA71" s="52">
        <f t="shared" si="39"/>
        <v>0</v>
      </c>
      <c r="AB71" s="52" t="s">
        <v>192</v>
      </c>
      <c r="AC71" s="52" t="s">
        <v>218</v>
      </c>
      <c r="AD71" s="52"/>
      <c r="AE71" s="52">
        <f t="shared" si="40"/>
        <v>0</v>
      </c>
      <c r="AF71" s="52">
        <f t="shared" si="41"/>
        <v>0</v>
      </c>
      <c r="AG71" s="52">
        <f t="shared" si="42"/>
        <v>0</v>
      </c>
      <c r="AH71" s="52">
        <f t="shared" si="43"/>
        <v>0</v>
      </c>
      <c r="AI71" s="52">
        <f t="shared" si="44"/>
        <v>0</v>
      </c>
      <c r="AJ71" s="52">
        <f t="shared" si="45"/>
        <v>0</v>
      </c>
      <c r="AK71" s="52">
        <f t="shared" si="46"/>
        <v>0</v>
      </c>
      <c r="AL71" s="52">
        <f t="shared" si="47"/>
        <v>0</v>
      </c>
      <c r="AM71" s="52">
        <f t="shared" si="48"/>
        <v>0</v>
      </c>
      <c r="AN71" s="52">
        <f t="shared" si="49"/>
        <v>0</v>
      </c>
      <c r="AO71" s="52">
        <f t="shared" si="50"/>
        <v>0</v>
      </c>
      <c r="AP71" s="52">
        <f t="shared" si="51"/>
        <v>0</v>
      </c>
      <c r="AQ71" s="52">
        <f t="shared" si="52"/>
        <v>0</v>
      </c>
      <c r="AR71" s="52">
        <f t="shared" si="53"/>
        <v>0</v>
      </c>
      <c r="AS71" s="52">
        <f t="shared" si="54"/>
        <v>0</v>
      </c>
    </row>
    <row r="72" spans="1:45">
      <c r="A72" s="52">
        <v>37</v>
      </c>
      <c r="B72" s="52"/>
      <c r="C72" s="52"/>
      <c r="D72" s="54"/>
      <c r="E72" s="54"/>
      <c r="F72" s="54"/>
      <c r="G72" s="54"/>
      <c r="H72" s="52"/>
      <c r="I72" s="52"/>
      <c r="J72" s="52"/>
      <c r="K72" s="52"/>
      <c r="L72" s="52"/>
      <c r="M72" s="52"/>
      <c r="N72" s="52"/>
      <c r="O72" s="52"/>
      <c r="P72" s="52"/>
      <c r="Q72" s="52"/>
      <c r="R72" s="52"/>
      <c r="S72" s="52"/>
      <c r="T72" s="52"/>
      <c r="U72" s="52"/>
      <c r="V72" s="52"/>
      <c r="W72" s="52"/>
      <c r="X72" s="52"/>
      <c r="Y72" s="52">
        <f t="shared" si="37"/>
        <v>0</v>
      </c>
      <c r="Z72" s="52">
        <f t="shared" si="38"/>
        <v>0</v>
      </c>
      <c r="AA72" s="52">
        <f t="shared" si="39"/>
        <v>0</v>
      </c>
      <c r="AB72" s="52" t="s">
        <v>192</v>
      </c>
      <c r="AC72" s="52" t="s">
        <v>219</v>
      </c>
      <c r="AD72" s="52"/>
      <c r="AE72" s="52">
        <f t="shared" si="40"/>
        <v>0</v>
      </c>
      <c r="AF72" s="52">
        <f t="shared" si="41"/>
        <v>0</v>
      </c>
      <c r="AG72" s="52">
        <f t="shared" si="42"/>
        <v>0</v>
      </c>
      <c r="AH72" s="52">
        <f t="shared" si="43"/>
        <v>0</v>
      </c>
      <c r="AI72" s="52">
        <f t="shared" si="44"/>
        <v>0</v>
      </c>
      <c r="AJ72" s="52">
        <f t="shared" si="45"/>
        <v>0</v>
      </c>
      <c r="AK72" s="52">
        <f t="shared" si="46"/>
        <v>0</v>
      </c>
      <c r="AL72" s="52">
        <f t="shared" si="47"/>
        <v>0</v>
      </c>
      <c r="AM72" s="52">
        <f t="shared" si="48"/>
        <v>0</v>
      </c>
      <c r="AN72" s="52">
        <f t="shared" si="49"/>
        <v>0</v>
      </c>
      <c r="AO72" s="52">
        <f t="shared" si="50"/>
        <v>0</v>
      </c>
      <c r="AP72" s="52">
        <f t="shared" si="51"/>
        <v>0</v>
      </c>
      <c r="AQ72" s="52">
        <f t="shared" si="52"/>
        <v>0</v>
      </c>
      <c r="AR72" s="52">
        <f t="shared" si="53"/>
        <v>0</v>
      </c>
      <c r="AS72" s="52">
        <f t="shared" si="54"/>
        <v>0</v>
      </c>
    </row>
    <row r="73" spans="1:45">
      <c r="A73" s="52">
        <v>37</v>
      </c>
      <c r="B73" s="52"/>
      <c r="C73" s="52"/>
      <c r="D73" s="54"/>
      <c r="E73" s="54"/>
      <c r="F73" s="54"/>
      <c r="G73" s="54"/>
      <c r="H73" s="52"/>
      <c r="I73" s="52"/>
      <c r="J73" s="52"/>
      <c r="K73" s="52"/>
      <c r="L73" s="52"/>
      <c r="M73" s="52"/>
      <c r="N73" s="52"/>
      <c r="O73" s="52"/>
      <c r="P73" s="52"/>
      <c r="Q73" s="52"/>
      <c r="R73" s="52"/>
      <c r="S73" s="52"/>
      <c r="T73" s="52"/>
      <c r="U73" s="52"/>
      <c r="V73" s="52"/>
      <c r="W73" s="52"/>
      <c r="X73" s="52"/>
      <c r="Y73" s="52">
        <f t="shared" si="37"/>
        <v>0</v>
      </c>
      <c r="Z73" s="52">
        <f t="shared" si="38"/>
        <v>0</v>
      </c>
      <c r="AA73" s="52">
        <f t="shared" si="39"/>
        <v>0</v>
      </c>
      <c r="AB73" s="52" t="s">
        <v>192</v>
      </c>
      <c r="AC73" s="52" t="s">
        <v>220</v>
      </c>
      <c r="AD73" s="52"/>
      <c r="AE73" s="52">
        <f t="shared" si="40"/>
        <v>0</v>
      </c>
      <c r="AF73" s="52">
        <f t="shared" si="41"/>
        <v>0</v>
      </c>
      <c r="AG73" s="52">
        <f t="shared" si="42"/>
        <v>0</v>
      </c>
      <c r="AH73" s="52">
        <f t="shared" si="43"/>
        <v>0</v>
      </c>
      <c r="AI73" s="52">
        <f t="shared" si="44"/>
        <v>0</v>
      </c>
      <c r="AJ73" s="52">
        <f t="shared" si="45"/>
        <v>0</v>
      </c>
      <c r="AK73" s="52">
        <f t="shared" si="46"/>
        <v>0</v>
      </c>
      <c r="AL73" s="52">
        <f t="shared" si="47"/>
        <v>0</v>
      </c>
      <c r="AM73" s="52">
        <f t="shared" si="48"/>
        <v>0</v>
      </c>
      <c r="AN73" s="52">
        <f t="shared" si="49"/>
        <v>0</v>
      </c>
      <c r="AO73" s="52">
        <f t="shared" si="50"/>
        <v>0</v>
      </c>
      <c r="AP73" s="52">
        <f t="shared" si="51"/>
        <v>0</v>
      </c>
      <c r="AQ73" s="52">
        <f t="shared" si="52"/>
        <v>0</v>
      </c>
      <c r="AR73" s="52">
        <f t="shared" si="53"/>
        <v>0</v>
      </c>
      <c r="AS73" s="52">
        <f t="shared" si="54"/>
        <v>0</v>
      </c>
    </row>
    <row r="74" spans="1:45">
      <c r="A74" s="52">
        <v>37</v>
      </c>
      <c r="B74" s="52"/>
      <c r="C74" s="52"/>
      <c r="D74" s="54"/>
      <c r="E74" s="54"/>
      <c r="F74" s="54"/>
      <c r="G74" s="54"/>
      <c r="H74" s="52"/>
      <c r="I74" s="52"/>
      <c r="J74" s="52"/>
      <c r="K74" s="52"/>
      <c r="L74" s="52"/>
      <c r="M74" s="52"/>
      <c r="N74" s="52"/>
      <c r="O74" s="52"/>
      <c r="P74" s="52"/>
      <c r="Q74" s="52"/>
      <c r="R74" s="52"/>
      <c r="S74" s="52"/>
      <c r="T74" s="52"/>
      <c r="U74" s="52"/>
      <c r="V74" s="52"/>
      <c r="W74" s="52"/>
      <c r="X74" s="52"/>
      <c r="Y74" s="52">
        <f t="shared" si="37"/>
        <v>0</v>
      </c>
      <c r="Z74" s="52">
        <f t="shared" si="38"/>
        <v>0</v>
      </c>
      <c r="AA74" s="52">
        <f t="shared" si="39"/>
        <v>0</v>
      </c>
      <c r="AB74" s="52" t="s">
        <v>192</v>
      </c>
      <c r="AC74" s="52" t="s">
        <v>221</v>
      </c>
      <c r="AD74" s="52"/>
      <c r="AE74" s="52">
        <f t="shared" si="40"/>
        <v>0</v>
      </c>
      <c r="AF74" s="52">
        <f t="shared" si="41"/>
        <v>0</v>
      </c>
      <c r="AG74" s="52">
        <f t="shared" si="42"/>
        <v>0</v>
      </c>
      <c r="AH74" s="52">
        <f t="shared" si="43"/>
        <v>0</v>
      </c>
      <c r="AI74" s="52">
        <f t="shared" si="44"/>
        <v>0</v>
      </c>
      <c r="AJ74" s="52">
        <f t="shared" si="45"/>
        <v>0</v>
      </c>
      <c r="AK74" s="52">
        <f t="shared" si="46"/>
        <v>0</v>
      </c>
      <c r="AL74" s="52">
        <f t="shared" si="47"/>
        <v>0</v>
      </c>
      <c r="AM74" s="52">
        <f t="shared" si="48"/>
        <v>0</v>
      </c>
      <c r="AN74" s="52">
        <f t="shared" si="49"/>
        <v>0</v>
      </c>
      <c r="AO74" s="52">
        <f t="shared" si="50"/>
        <v>0</v>
      </c>
      <c r="AP74" s="52">
        <f t="shared" si="51"/>
        <v>0</v>
      </c>
      <c r="AQ74" s="52">
        <f t="shared" si="52"/>
        <v>0</v>
      </c>
      <c r="AR74" s="52">
        <f t="shared" si="53"/>
        <v>0</v>
      </c>
      <c r="AS74" s="52">
        <f t="shared" si="54"/>
        <v>0</v>
      </c>
    </row>
    <row r="75" spans="1:45">
      <c r="A75" s="52">
        <v>37</v>
      </c>
      <c r="B75" s="52"/>
      <c r="C75" s="52"/>
      <c r="D75" s="54"/>
      <c r="E75" s="54"/>
      <c r="F75" s="54"/>
      <c r="G75" s="54"/>
      <c r="H75" s="52"/>
      <c r="I75" s="52"/>
      <c r="J75" s="52"/>
      <c r="K75" s="52"/>
      <c r="L75" s="52"/>
      <c r="M75" s="52"/>
      <c r="N75" s="52"/>
      <c r="O75" s="52"/>
      <c r="P75" s="52"/>
      <c r="Q75" s="52"/>
      <c r="R75" s="52"/>
      <c r="S75" s="52"/>
      <c r="T75" s="52"/>
      <c r="U75" s="52"/>
      <c r="V75" s="52"/>
      <c r="W75" s="52"/>
      <c r="X75" s="52"/>
      <c r="Y75" s="52">
        <f t="shared" si="37"/>
        <v>0</v>
      </c>
      <c r="Z75" s="52">
        <f t="shared" si="38"/>
        <v>0</v>
      </c>
      <c r="AA75" s="52">
        <f t="shared" si="39"/>
        <v>0</v>
      </c>
      <c r="AB75" s="52" t="s">
        <v>192</v>
      </c>
      <c r="AC75" s="52" t="s">
        <v>222</v>
      </c>
      <c r="AD75" s="52"/>
      <c r="AE75" s="52">
        <f t="shared" si="40"/>
        <v>0</v>
      </c>
      <c r="AF75" s="52">
        <f t="shared" si="41"/>
        <v>0</v>
      </c>
      <c r="AG75" s="52">
        <f t="shared" si="42"/>
        <v>0</v>
      </c>
      <c r="AH75" s="52">
        <f t="shared" si="43"/>
        <v>0</v>
      </c>
      <c r="AI75" s="52">
        <f t="shared" si="44"/>
        <v>0</v>
      </c>
      <c r="AJ75" s="52">
        <f t="shared" si="45"/>
        <v>0</v>
      </c>
      <c r="AK75" s="52">
        <f t="shared" si="46"/>
        <v>0</v>
      </c>
      <c r="AL75" s="52">
        <f t="shared" si="47"/>
        <v>0</v>
      </c>
      <c r="AM75" s="52">
        <f t="shared" si="48"/>
        <v>0</v>
      </c>
      <c r="AN75" s="52">
        <f t="shared" si="49"/>
        <v>0</v>
      </c>
      <c r="AO75" s="52">
        <f t="shared" si="50"/>
        <v>0</v>
      </c>
      <c r="AP75" s="52">
        <f t="shared" si="51"/>
        <v>0</v>
      </c>
      <c r="AQ75" s="52">
        <f t="shared" si="52"/>
        <v>0</v>
      </c>
      <c r="AR75" s="52">
        <f t="shared" si="53"/>
        <v>0</v>
      </c>
      <c r="AS75" s="52">
        <f t="shared" si="54"/>
        <v>0</v>
      </c>
    </row>
    <row r="76" spans="1:45">
      <c r="A76" s="52">
        <v>37</v>
      </c>
      <c r="B76" s="52"/>
      <c r="C76" s="52"/>
      <c r="D76" s="54"/>
      <c r="E76" s="54"/>
      <c r="F76" s="54"/>
      <c r="G76" s="54"/>
      <c r="H76" s="52"/>
      <c r="I76" s="52"/>
      <c r="J76" s="52"/>
      <c r="K76" s="52"/>
      <c r="L76" s="52"/>
      <c r="M76" s="52"/>
      <c r="N76" s="52"/>
      <c r="O76" s="52"/>
      <c r="P76" s="52"/>
      <c r="Q76" s="52"/>
      <c r="R76" s="52"/>
      <c r="S76" s="52"/>
      <c r="T76" s="52"/>
      <c r="U76" s="52"/>
      <c r="V76" s="52"/>
      <c r="W76" s="52"/>
      <c r="X76" s="52"/>
      <c r="Y76" s="52">
        <f t="shared" si="37"/>
        <v>0</v>
      </c>
      <c r="Z76" s="52">
        <f t="shared" si="38"/>
        <v>0</v>
      </c>
      <c r="AA76" s="52">
        <f t="shared" si="39"/>
        <v>0</v>
      </c>
      <c r="AB76" s="52" t="s">
        <v>192</v>
      </c>
      <c r="AC76" s="52" t="s">
        <v>223</v>
      </c>
      <c r="AD76" s="52"/>
      <c r="AE76" s="52">
        <f t="shared" si="40"/>
        <v>0</v>
      </c>
      <c r="AF76" s="52">
        <f t="shared" si="41"/>
        <v>0</v>
      </c>
      <c r="AG76" s="52">
        <f t="shared" si="42"/>
        <v>0</v>
      </c>
      <c r="AH76" s="52">
        <f t="shared" si="43"/>
        <v>0</v>
      </c>
      <c r="AI76" s="52">
        <f t="shared" si="44"/>
        <v>0</v>
      </c>
      <c r="AJ76" s="52">
        <f t="shared" si="45"/>
        <v>0</v>
      </c>
      <c r="AK76" s="52">
        <f t="shared" si="46"/>
        <v>0</v>
      </c>
      <c r="AL76" s="52">
        <f t="shared" si="47"/>
        <v>0</v>
      </c>
      <c r="AM76" s="52">
        <f t="shared" si="48"/>
        <v>0</v>
      </c>
      <c r="AN76" s="52">
        <f t="shared" si="49"/>
        <v>0</v>
      </c>
      <c r="AO76" s="52">
        <f t="shared" si="50"/>
        <v>0</v>
      </c>
      <c r="AP76" s="52">
        <f t="shared" si="51"/>
        <v>0</v>
      </c>
      <c r="AQ76" s="52">
        <f t="shared" si="52"/>
        <v>0</v>
      </c>
      <c r="AR76" s="52">
        <f t="shared" si="53"/>
        <v>0</v>
      </c>
      <c r="AS76" s="52">
        <f t="shared" si="54"/>
        <v>0</v>
      </c>
    </row>
    <row r="77" spans="1:45">
      <c r="A77" s="52">
        <v>37</v>
      </c>
      <c r="B77" s="52"/>
      <c r="C77" s="52"/>
      <c r="D77" s="54"/>
      <c r="E77" s="54"/>
      <c r="F77" s="54"/>
      <c r="G77" s="54"/>
      <c r="H77" s="52"/>
      <c r="I77" s="52"/>
      <c r="J77" s="52"/>
      <c r="K77" s="52"/>
      <c r="L77" s="52"/>
      <c r="M77" s="52"/>
      <c r="N77" s="52"/>
      <c r="O77" s="52"/>
      <c r="P77" s="52"/>
      <c r="Q77" s="52"/>
      <c r="R77" s="52"/>
      <c r="S77" s="52"/>
      <c r="T77" s="52"/>
      <c r="U77" s="52"/>
      <c r="V77" s="52"/>
      <c r="W77" s="52"/>
      <c r="X77" s="52"/>
      <c r="Y77" s="52">
        <f t="shared" si="37"/>
        <v>0</v>
      </c>
      <c r="Z77" s="52">
        <f t="shared" si="38"/>
        <v>0</v>
      </c>
      <c r="AA77" s="52">
        <f t="shared" si="39"/>
        <v>0</v>
      </c>
      <c r="AB77" s="52" t="s">
        <v>192</v>
      </c>
      <c r="AC77" s="52" t="s">
        <v>224</v>
      </c>
      <c r="AD77" s="52"/>
      <c r="AE77" s="52">
        <f t="shared" si="40"/>
        <v>0</v>
      </c>
      <c r="AF77" s="52">
        <f t="shared" si="41"/>
        <v>0</v>
      </c>
      <c r="AG77" s="52">
        <f t="shared" si="42"/>
        <v>0</v>
      </c>
      <c r="AH77" s="52">
        <f t="shared" si="43"/>
        <v>0</v>
      </c>
      <c r="AI77" s="52">
        <f t="shared" si="44"/>
        <v>0</v>
      </c>
      <c r="AJ77" s="52">
        <f t="shared" si="45"/>
        <v>0</v>
      </c>
      <c r="AK77" s="52">
        <f t="shared" si="46"/>
        <v>0</v>
      </c>
      <c r="AL77" s="52">
        <f t="shared" si="47"/>
        <v>0</v>
      </c>
      <c r="AM77" s="52">
        <f t="shared" si="48"/>
        <v>0</v>
      </c>
      <c r="AN77" s="52">
        <f t="shared" si="49"/>
        <v>0</v>
      </c>
      <c r="AO77" s="52">
        <f t="shared" si="50"/>
        <v>0</v>
      </c>
      <c r="AP77" s="52">
        <f t="shared" si="51"/>
        <v>0</v>
      </c>
      <c r="AQ77" s="52">
        <f t="shared" si="52"/>
        <v>0</v>
      </c>
      <c r="AR77" s="52">
        <f t="shared" si="53"/>
        <v>0</v>
      </c>
      <c r="AS77" s="52">
        <f t="shared" si="54"/>
        <v>0</v>
      </c>
    </row>
    <row r="78" spans="1:45">
      <c r="A78" s="52">
        <v>37</v>
      </c>
      <c r="B78" s="52"/>
      <c r="C78" s="52"/>
      <c r="D78" s="54"/>
      <c r="E78" s="54"/>
      <c r="F78" s="54"/>
      <c r="G78" s="54"/>
      <c r="H78" s="52"/>
      <c r="I78" s="52"/>
      <c r="J78" s="52"/>
      <c r="K78" s="52"/>
      <c r="L78" s="52"/>
      <c r="M78" s="52"/>
      <c r="N78" s="52"/>
      <c r="O78" s="52"/>
      <c r="P78" s="52"/>
      <c r="Q78" s="52"/>
      <c r="R78" s="52"/>
      <c r="S78" s="52"/>
      <c r="T78" s="52"/>
      <c r="U78" s="52"/>
      <c r="V78" s="52"/>
      <c r="W78" s="52"/>
      <c r="X78" s="52"/>
      <c r="Y78" s="52">
        <f t="shared" si="37"/>
        <v>0</v>
      </c>
      <c r="Z78" s="52">
        <f t="shared" si="38"/>
        <v>0</v>
      </c>
      <c r="AA78" s="52">
        <f t="shared" si="39"/>
        <v>0</v>
      </c>
      <c r="AB78" s="52" t="s">
        <v>192</v>
      </c>
      <c r="AC78" s="52" t="s">
        <v>225</v>
      </c>
      <c r="AD78" s="52"/>
      <c r="AE78" s="52">
        <f t="shared" si="40"/>
        <v>0</v>
      </c>
      <c r="AF78" s="52">
        <f t="shared" si="41"/>
        <v>0</v>
      </c>
      <c r="AG78" s="52">
        <f t="shared" si="42"/>
        <v>0</v>
      </c>
      <c r="AH78" s="52">
        <f t="shared" si="43"/>
        <v>0</v>
      </c>
      <c r="AI78" s="52">
        <f t="shared" si="44"/>
        <v>0</v>
      </c>
      <c r="AJ78" s="52">
        <f t="shared" si="45"/>
        <v>0</v>
      </c>
      <c r="AK78" s="52">
        <f t="shared" si="46"/>
        <v>0</v>
      </c>
      <c r="AL78" s="52">
        <f t="shared" si="47"/>
        <v>0</v>
      </c>
      <c r="AM78" s="52">
        <f t="shared" si="48"/>
        <v>0</v>
      </c>
      <c r="AN78" s="52">
        <f t="shared" si="49"/>
        <v>0</v>
      </c>
      <c r="AO78" s="52">
        <f t="shared" si="50"/>
        <v>0</v>
      </c>
      <c r="AP78" s="52">
        <f t="shared" si="51"/>
        <v>0</v>
      </c>
      <c r="AQ78" s="52">
        <f t="shared" si="52"/>
        <v>0</v>
      </c>
      <c r="AR78" s="52">
        <f t="shared" si="53"/>
        <v>0</v>
      </c>
      <c r="AS78" s="52">
        <f t="shared" si="54"/>
        <v>0</v>
      </c>
    </row>
    <row r="79" spans="1:45">
      <c r="A79" s="52">
        <v>37</v>
      </c>
      <c r="B79" s="52"/>
      <c r="C79" s="52"/>
      <c r="D79" s="54"/>
      <c r="E79" s="54"/>
      <c r="F79" s="54"/>
      <c r="G79" s="54"/>
      <c r="H79" s="52"/>
      <c r="I79" s="52"/>
      <c r="J79" s="52"/>
      <c r="K79" s="52"/>
      <c r="L79" s="52"/>
      <c r="M79" s="52"/>
      <c r="N79" s="52"/>
      <c r="O79" s="52"/>
      <c r="P79" s="52"/>
      <c r="Q79" s="52"/>
      <c r="R79" s="52"/>
      <c r="S79" s="52"/>
      <c r="T79" s="52"/>
      <c r="U79" s="52"/>
      <c r="V79" s="52"/>
      <c r="W79" s="52"/>
      <c r="X79" s="52"/>
      <c r="Y79" s="52">
        <f t="shared" si="37"/>
        <v>0</v>
      </c>
      <c r="Z79" s="52">
        <f t="shared" si="38"/>
        <v>0</v>
      </c>
      <c r="AA79" s="52">
        <f t="shared" si="39"/>
        <v>0</v>
      </c>
      <c r="AB79" s="52" t="s">
        <v>192</v>
      </c>
      <c r="AC79" s="52" t="s">
        <v>226</v>
      </c>
      <c r="AD79" s="52"/>
      <c r="AE79" s="52">
        <f t="shared" si="40"/>
        <v>0</v>
      </c>
      <c r="AF79" s="52">
        <f t="shared" si="41"/>
        <v>0</v>
      </c>
      <c r="AG79" s="52">
        <f t="shared" si="42"/>
        <v>0</v>
      </c>
      <c r="AH79" s="52">
        <f t="shared" si="43"/>
        <v>0</v>
      </c>
      <c r="AI79" s="52">
        <f t="shared" si="44"/>
        <v>0</v>
      </c>
      <c r="AJ79" s="52">
        <f t="shared" si="45"/>
        <v>0</v>
      </c>
      <c r="AK79" s="52">
        <f t="shared" si="46"/>
        <v>0</v>
      </c>
      <c r="AL79" s="52">
        <f t="shared" si="47"/>
        <v>0</v>
      </c>
      <c r="AM79" s="52">
        <f t="shared" si="48"/>
        <v>0</v>
      </c>
      <c r="AN79" s="52">
        <f t="shared" si="49"/>
        <v>0</v>
      </c>
      <c r="AO79" s="52">
        <f t="shared" si="50"/>
        <v>0</v>
      </c>
      <c r="AP79" s="52">
        <f t="shared" si="51"/>
        <v>0</v>
      </c>
      <c r="AQ79" s="52">
        <f t="shared" si="52"/>
        <v>0</v>
      </c>
      <c r="AR79" s="52">
        <f t="shared" si="53"/>
        <v>0</v>
      </c>
      <c r="AS79" s="52">
        <f t="shared" si="54"/>
        <v>0</v>
      </c>
    </row>
    <row r="80" spans="1:45">
      <c r="A80" s="52">
        <v>37</v>
      </c>
      <c r="B80" s="52"/>
      <c r="C80" s="52"/>
      <c r="D80" s="54"/>
      <c r="E80" s="54"/>
      <c r="F80" s="54"/>
      <c r="G80" s="54"/>
      <c r="H80" s="52"/>
      <c r="I80" s="52"/>
      <c r="J80" s="52"/>
      <c r="K80" s="52"/>
      <c r="L80" s="52"/>
      <c r="M80" s="52"/>
      <c r="N80" s="52"/>
      <c r="O80" s="52"/>
      <c r="P80" s="52"/>
      <c r="Q80" s="52"/>
      <c r="R80" s="52"/>
      <c r="S80" s="52"/>
      <c r="T80" s="52"/>
      <c r="U80" s="52"/>
      <c r="V80" s="52"/>
      <c r="W80" s="52"/>
      <c r="X80" s="52"/>
      <c r="Y80" s="52">
        <f t="shared" si="37"/>
        <v>0</v>
      </c>
      <c r="Z80" s="52">
        <f t="shared" si="38"/>
        <v>0</v>
      </c>
      <c r="AA80" s="52">
        <f t="shared" si="39"/>
        <v>0</v>
      </c>
      <c r="AB80" s="52" t="s">
        <v>192</v>
      </c>
      <c r="AC80" s="52" t="s">
        <v>227</v>
      </c>
      <c r="AD80" s="52"/>
      <c r="AE80" s="52">
        <f t="shared" si="40"/>
        <v>0</v>
      </c>
      <c r="AF80" s="52">
        <f t="shared" si="41"/>
        <v>0</v>
      </c>
      <c r="AG80" s="52">
        <f t="shared" si="42"/>
        <v>0</v>
      </c>
      <c r="AH80" s="52">
        <f t="shared" si="43"/>
        <v>0</v>
      </c>
      <c r="AI80" s="52">
        <f t="shared" si="44"/>
        <v>0</v>
      </c>
      <c r="AJ80" s="52">
        <f t="shared" si="45"/>
        <v>0</v>
      </c>
      <c r="AK80" s="52">
        <f t="shared" si="46"/>
        <v>0</v>
      </c>
      <c r="AL80" s="52">
        <f t="shared" si="47"/>
        <v>0</v>
      </c>
      <c r="AM80" s="52">
        <f t="shared" si="48"/>
        <v>0</v>
      </c>
      <c r="AN80" s="52">
        <f t="shared" si="49"/>
        <v>0</v>
      </c>
      <c r="AO80" s="52">
        <f t="shared" si="50"/>
        <v>0</v>
      </c>
      <c r="AP80" s="52">
        <f t="shared" si="51"/>
        <v>0</v>
      </c>
      <c r="AQ80" s="52">
        <f t="shared" si="52"/>
        <v>0</v>
      </c>
      <c r="AR80" s="52">
        <f t="shared" si="53"/>
        <v>0</v>
      </c>
      <c r="AS80" s="52">
        <f t="shared" si="54"/>
        <v>0</v>
      </c>
    </row>
    <row r="81" spans="1:45">
      <c r="A81" s="52">
        <v>37</v>
      </c>
      <c r="B81" s="52"/>
      <c r="C81" s="52"/>
      <c r="D81" s="54"/>
      <c r="E81" s="54"/>
      <c r="F81" s="54"/>
      <c r="G81" s="54"/>
      <c r="H81" s="52"/>
      <c r="I81" s="52"/>
      <c r="J81" s="52"/>
      <c r="K81" s="52"/>
      <c r="L81" s="52"/>
      <c r="M81" s="52"/>
      <c r="N81" s="52"/>
      <c r="O81" s="52"/>
      <c r="P81" s="52"/>
      <c r="Q81" s="52"/>
      <c r="R81" s="52"/>
      <c r="S81" s="52"/>
      <c r="T81" s="52"/>
      <c r="U81" s="52"/>
      <c r="V81" s="52"/>
      <c r="W81" s="52"/>
      <c r="X81" s="52"/>
      <c r="Y81" s="52">
        <f t="shared" si="37"/>
        <v>0</v>
      </c>
      <c r="Z81" s="52">
        <f t="shared" si="38"/>
        <v>0</v>
      </c>
      <c r="AA81" s="52">
        <f t="shared" si="39"/>
        <v>0</v>
      </c>
      <c r="AB81" s="52" t="s">
        <v>192</v>
      </c>
      <c r="AC81" s="52" t="s">
        <v>228</v>
      </c>
      <c r="AD81" s="52"/>
      <c r="AE81" s="52">
        <f t="shared" si="40"/>
        <v>0</v>
      </c>
      <c r="AF81" s="52">
        <f t="shared" si="41"/>
        <v>0</v>
      </c>
      <c r="AG81" s="52">
        <f t="shared" si="42"/>
        <v>0</v>
      </c>
      <c r="AH81" s="52">
        <f t="shared" si="43"/>
        <v>0</v>
      </c>
      <c r="AI81" s="52">
        <f t="shared" si="44"/>
        <v>0</v>
      </c>
      <c r="AJ81" s="52">
        <f t="shared" si="45"/>
        <v>0</v>
      </c>
      <c r="AK81" s="52">
        <f t="shared" si="46"/>
        <v>0</v>
      </c>
      <c r="AL81" s="52">
        <f t="shared" si="47"/>
        <v>0</v>
      </c>
      <c r="AM81" s="52">
        <f t="shared" si="48"/>
        <v>0</v>
      </c>
      <c r="AN81" s="52">
        <f t="shared" si="49"/>
        <v>0</v>
      </c>
      <c r="AO81" s="52">
        <f t="shared" si="50"/>
        <v>0</v>
      </c>
      <c r="AP81" s="52">
        <f t="shared" si="51"/>
        <v>0</v>
      </c>
      <c r="AQ81" s="52">
        <f t="shared" si="52"/>
        <v>0</v>
      </c>
      <c r="AR81" s="52">
        <f t="shared" si="53"/>
        <v>0</v>
      </c>
      <c r="AS81" s="52">
        <f t="shared" si="54"/>
        <v>0</v>
      </c>
    </row>
    <row r="82" spans="1:45">
      <c r="A82" s="52">
        <v>37</v>
      </c>
      <c r="B82" s="52"/>
      <c r="C82" s="52"/>
      <c r="D82" s="54"/>
      <c r="E82" s="54"/>
      <c r="F82" s="54"/>
      <c r="G82" s="54"/>
      <c r="H82" s="52"/>
      <c r="I82" s="52"/>
      <c r="J82" s="52"/>
      <c r="K82" s="52"/>
      <c r="L82" s="52"/>
      <c r="M82" s="52"/>
      <c r="N82" s="52"/>
      <c r="O82" s="52"/>
      <c r="P82" s="52"/>
      <c r="Q82" s="52"/>
      <c r="R82" s="52"/>
      <c r="S82" s="52"/>
      <c r="T82" s="52"/>
      <c r="U82" s="52"/>
      <c r="V82" s="52"/>
      <c r="W82" s="52"/>
      <c r="X82" s="52"/>
      <c r="Y82" s="52">
        <f t="shared" si="37"/>
        <v>0</v>
      </c>
      <c r="Z82" s="52">
        <f t="shared" si="38"/>
        <v>0</v>
      </c>
      <c r="AA82" s="52">
        <f t="shared" si="39"/>
        <v>0</v>
      </c>
      <c r="AB82" s="52" t="s">
        <v>192</v>
      </c>
      <c r="AC82" s="52" t="s">
        <v>229</v>
      </c>
      <c r="AD82" s="52"/>
      <c r="AE82" s="52">
        <f t="shared" si="40"/>
        <v>0</v>
      </c>
      <c r="AF82" s="52">
        <f t="shared" si="41"/>
        <v>0</v>
      </c>
      <c r="AG82" s="52">
        <f t="shared" si="42"/>
        <v>0</v>
      </c>
      <c r="AH82" s="52">
        <f t="shared" si="43"/>
        <v>0</v>
      </c>
      <c r="AI82" s="52">
        <f t="shared" si="44"/>
        <v>0</v>
      </c>
      <c r="AJ82" s="52">
        <f t="shared" si="45"/>
        <v>0</v>
      </c>
      <c r="AK82" s="52">
        <f t="shared" si="46"/>
        <v>0</v>
      </c>
      <c r="AL82" s="52">
        <f t="shared" si="47"/>
        <v>0</v>
      </c>
      <c r="AM82" s="52">
        <f t="shared" si="48"/>
        <v>0</v>
      </c>
      <c r="AN82" s="52">
        <f t="shared" si="49"/>
        <v>0</v>
      </c>
      <c r="AO82" s="52">
        <f t="shared" si="50"/>
        <v>0</v>
      </c>
      <c r="AP82" s="52">
        <f t="shared" si="51"/>
        <v>0</v>
      </c>
      <c r="AQ82" s="52">
        <f t="shared" si="52"/>
        <v>0</v>
      </c>
      <c r="AR82" s="52">
        <f t="shared" si="53"/>
        <v>0</v>
      </c>
      <c r="AS82" s="52">
        <f t="shared" si="54"/>
        <v>0</v>
      </c>
    </row>
    <row r="83" spans="1:45">
      <c r="A83" s="52">
        <v>37</v>
      </c>
      <c r="B83" s="52"/>
      <c r="C83" s="52"/>
      <c r="D83" s="54"/>
      <c r="E83" s="54"/>
      <c r="F83" s="54"/>
      <c r="G83" s="54"/>
      <c r="H83" s="52"/>
      <c r="I83" s="52"/>
      <c r="J83" s="52"/>
      <c r="K83" s="52"/>
      <c r="L83" s="52"/>
      <c r="M83" s="52"/>
      <c r="N83" s="52"/>
      <c r="O83" s="52"/>
      <c r="P83" s="52"/>
      <c r="Q83" s="52"/>
      <c r="R83" s="52"/>
      <c r="S83" s="52"/>
      <c r="T83" s="52"/>
      <c r="U83" s="52"/>
      <c r="V83" s="52"/>
      <c r="W83" s="52"/>
      <c r="X83" s="52"/>
      <c r="Y83" s="52">
        <f t="shared" si="37"/>
        <v>0</v>
      </c>
      <c r="Z83" s="52">
        <f t="shared" si="38"/>
        <v>0</v>
      </c>
      <c r="AA83" s="52">
        <f t="shared" si="39"/>
        <v>0</v>
      </c>
      <c r="AB83" s="52" t="s">
        <v>192</v>
      </c>
      <c r="AC83" s="52" t="s">
        <v>230</v>
      </c>
      <c r="AD83" s="52"/>
      <c r="AE83" s="52">
        <f t="shared" si="40"/>
        <v>0</v>
      </c>
      <c r="AF83" s="52">
        <f t="shared" si="41"/>
        <v>0</v>
      </c>
      <c r="AG83" s="52">
        <f t="shared" si="42"/>
        <v>0</v>
      </c>
      <c r="AH83" s="52">
        <f t="shared" si="43"/>
        <v>0</v>
      </c>
      <c r="AI83" s="52">
        <f t="shared" si="44"/>
        <v>0</v>
      </c>
      <c r="AJ83" s="52">
        <f t="shared" si="45"/>
        <v>0</v>
      </c>
      <c r="AK83" s="52">
        <f t="shared" si="46"/>
        <v>0</v>
      </c>
      <c r="AL83" s="52">
        <f t="shared" si="47"/>
        <v>0</v>
      </c>
      <c r="AM83" s="52">
        <f t="shared" si="48"/>
        <v>0</v>
      </c>
      <c r="AN83" s="52">
        <f t="shared" si="49"/>
        <v>0</v>
      </c>
      <c r="AO83" s="52">
        <f t="shared" si="50"/>
        <v>0</v>
      </c>
      <c r="AP83" s="52">
        <f t="shared" si="51"/>
        <v>0</v>
      </c>
      <c r="AQ83" s="52">
        <f t="shared" si="52"/>
        <v>0</v>
      </c>
      <c r="AR83" s="52">
        <f t="shared" si="53"/>
        <v>0</v>
      </c>
      <c r="AS83" s="52">
        <f t="shared" si="54"/>
        <v>0</v>
      </c>
    </row>
    <row r="84" spans="1:45">
      <c r="A84" s="52">
        <v>37</v>
      </c>
      <c r="B84" s="52"/>
      <c r="C84" s="52"/>
      <c r="D84" s="54"/>
      <c r="E84" s="54"/>
      <c r="F84" s="54"/>
      <c r="G84" s="54"/>
      <c r="H84" s="52"/>
      <c r="I84" s="52"/>
      <c r="J84" s="52"/>
      <c r="K84" s="52"/>
      <c r="L84" s="52"/>
      <c r="M84" s="52"/>
      <c r="N84" s="52"/>
      <c r="O84" s="52"/>
      <c r="P84" s="52"/>
      <c r="Q84" s="52"/>
      <c r="R84" s="52"/>
      <c r="S84" s="52"/>
      <c r="T84" s="52"/>
      <c r="U84" s="52"/>
      <c r="V84" s="52"/>
      <c r="W84" s="52"/>
      <c r="X84" s="52"/>
      <c r="Y84" s="52">
        <f t="shared" si="37"/>
        <v>0</v>
      </c>
      <c r="Z84" s="52">
        <f t="shared" si="38"/>
        <v>0</v>
      </c>
      <c r="AA84" s="52">
        <f t="shared" si="39"/>
        <v>0</v>
      </c>
      <c r="AB84" s="52" t="s">
        <v>192</v>
      </c>
      <c r="AC84" s="52" t="s">
        <v>231</v>
      </c>
      <c r="AD84" s="52"/>
      <c r="AE84" s="52">
        <f t="shared" si="40"/>
        <v>0</v>
      </c>
      <c r="AF84" s="52">
        <f t="shared" si="41"/>
        <v>0</v>
      </c>
      <c r="AG84" s="52">
        <f t="shared" si="42"/>
        <v>0</v>
      </c>
      <c r="AH84" s="52">
        <f t="shared" si="43"/>
        <v>0</v>
      </c>
      <c r="AI84" s="52">
        <f t="shared" si="44"/>
        <v>0</v>
      </c>
      <c r="AJ84" s="52">
        <f t="shared" si="45"/>
        <v>0</v>
      </c>
      <c r="AK84" s="52">
        <f t="shared" si="46"/>
        <v>0</v>
      </c>
      <c r="AL84" s="52">
        <f t="shared" si="47"/>
        <v>0</v>
      </c>
      <c r="AM84" s="52">
        <f t="shared" si="48"/>
        <v>0</v>
      </c>
      <c r="AN84" s="52">
        <f t="shared" si="49"/>
        <v>0</v>
      </c>
      <c r="AO84" s="52">
        <f t="shared" si="50"/>
        <v>0</v>
      </c>
      <c r="AP84" s="52">
        <f t="shared" si="51"/>
        <v>0</v>
      </c>
      <c r="AQ84" s="52">
        <f t="shared" si="52"/>
        <v>0</v>
      </c>
      <c r="AR84" s="52">
        <f t="shared" si="53"/>
        <v>0</v>
      </c>
      <c r="AS84" s="52">
        <f t="shared" si="54"/>
        <v>0</v>
      </c>
    </row>
    <row r="85" spans="1:45">
      <c r="A85" s="52">
        <v>37</v>
      </c>
      <c r="B85" s="52"/>
      <c r="C85" s="52"/>
      <c r="D85" s="54"/>
      <c r="E85" s="54"/>
      <c r="F85" s="54"/>
      <c r="G85" s="54"/>
      <c r="H85" s="52"/>
      <c r="I85" s="52"/>
      <c r="J85" s="52"/>
      <c r="K85" s="52"/>
      <c r="L85" s="52"/>
      <c r="M85" s="52"/>
      <c r="N85" s="52"/>
      <c r="O85" s="52"/>
      <c r="P85" s="52"/>
      <c r="Q85" s="52"/>
      <c r="R85" s="52"/>
      <c r="S85" s="52"/>
      <c r="T85" s="52"/>
      <c r="U85" s="52"/>
      <c r="V85" s="52"/>
      <c r="W85" s="52"/>
      <c r="X85" s="52"/>
      <c r="Y85" s="52">
        <f t="shared" si="37"/>
        <v>0</v>
      </c>
      <c r="Z85" s="52">
        <f t="shared" si="38"/>
        <v>0</v>
      </c>
      <c r="AA85" s="52">
        <f t="shared" si="39"/>
        <v>0</v>
      </c>
      <c r="AB85" s="52" t="s">
        <v>192</v>
      </c>
      <c r="AC85" s="52" t="s">
        <v>232</v>
      </c>
      <c r="AD85" s="52"/>
      <c r="AE85" s="52">
        <f t="shared" si="40"/>
        <v>0</v>
      </c>
      <c r="AF85" s="52">
        <f t="shared" si="41"/>
        <v>0</v>
      </c>
      <c r="AG85" s="52">
        <f t="shared" si="42"/>
        <v>0</v>
      </c>
      <c r="AH85" s="52">
        <f t="shared" si="43"/>
        <v>0</v>
      </c>
      <c r="AI85" s="52">
        <f t="shared" si="44"/>
        <v>0</v>
      </c>
      <c r="AJ85" s="52">
        <f t="shared" si="45"/>
        <v>0</v>
      </c>
      <c r="AK85" s="52">
        <f t="shared" si="46"/>
        <v>0</v>
      </c>
      <c r="AL85" s="52">
        <f t="shared" si="47"/>
        <v>0</v>
      </c>
      <c r="AM85" s="52">
        <f t="shared" si="48"/>
        <v>0</v>
      </c>
      <c r="AN85" s="52">
        <f t="shared" si="49"/>
        <v>0</v>
      </c>
      <c r="AO85" s="52">
        <f t="shared" si="50"/>
        <v>0</v>
      </c>
      <c r="AP85" s="52">
        <f t="shared" si="51"/>
        <v>0</v>
      </c>
      <c r="AQ85" s="52">
        <f t="shared" si="52"/>
        <v>0</v>
      </c>
      <c r="AR85" s="52">
        <f t="shared" si="53"/>
        <v>0</v>
      </c>
      <c r="AS85" s="52">
        <f t="shared" si="54"/>
        <v>0</v>
      </c>
    </row>
    <row r="86" spans="1:45">
      <c r="A86" s="52">
        <v>37</v>
      </c>
      <c r="B86" s="52"/>
      <c r="C86" s="52"/>
      <c r="D86" s="54"/>
      <c r="E86" s="54"/>
      <c r="F86" s="54"/>
      <c r="G86" s="54"/>
      <c r="H86" s="52"/>
      <c r="I86" s="52"/>
      <c r="J86" s="52"/>
      <c r="K86" s="52"/>
      <c r="L86" s="52"/>
      <c r="M86" s="52"/>
      <c r="N86" s="52"/>
      <c r="O86" s="52"/>
      <c r="P86" s="52"/>
      <c r="Q86" s="52"/>
      <c r="R86" s="52"/>
      <c r="S86" s="52"/>
      <c r="T86" s="52"/>
      <c r="U86" s="52"/>
      <c r="V86" s="52"/>
      <c r="W86" s="52"/>
      <c r="X86" s="52"/>
      <c r="Y86" s="52">
        <f t="shared" si="37"/>
        <v>0</v>
      </c>
      <c r="Z86" s="52">
        <f t="shared" si="38"/>
        <v>0</v>
      </c>
      <c r="AA86" s="52">
        <f t="shared" si="39"/>
        <v>0</v>
      </c>
      <c r="AB86" s="52" t="s">
        <v>192</v>
      </c>
      <c r="AC86" s="52" t="s">
        <v>233</v>
      </c>
      <c r="AD86" s="52"/>
      <c r="AE86" s="52">
        <f t="shared" si="40"/>
        <v>0</v>
      </c>
      <c r="AF86" s="52">
        <f t="shared" si="41"/>
        <v>0</v>
      </c>
      <c r="AG86" s="52">
        <f t="shared" si="42"/>
        <v>0</v>
      </c>
      <c r="AH86" s="52">
        <f t="shared" si="43"/>
        <v>0</v>
      </c>
      <c r="AI86" s="52">
        <f t="shared" si="44"/>
        <v>0</v>
      </c>
      <c r="AJ86" s="52">
        <f t="shared" si="45"/>
        <v>0</v>
      </c>
      <c r="AK86" s="52">
        <f t="shared" si="46"/>
        <v>0</v>
      </c>
      <c r="AL86" s="52">
        <f t="shared" si="47"/>
        <v>0</v>
      </c>
      <c r="AM86" s="52">
        <f t="shared" si="48"/>
        <v>0</v>
      </c>
      <c r="AN86" s="52">
        <f t="shared" si="49"/>
        <v>0</v>
      </c>
      <c r="AO86" s="52">
        <f t="shared" si="50"/>
        <v>0</v>
      </c>
      <c r="AP86" s="52">
        <f t="shared" si="51"/>
        <v>0</v>
      </c>
      <c r="AQ86" s="52">
        <f t="shared" si="52"/>
        <v>0</v>
      </c>
      <c r="AR86" s="52">
        <f t="shared" si="53"/>
        <v>0</v>
      </c>
      <c r="AS86" s="52">
        <f t="shared" si="54"/>
        <v>0</v>
      </c>
    </row>
    <row r="87" spans="1:45">
      <c r="A87" s="52">
        <v>37</v>
      </c>
      <c r="B87" s="52"/>
      <c r="C87" s="52"/>
      <c r="D87" s="54"/>
      <c r="E87" s="54"/>
      <c r="F87" s="54"/>
      <c r="G87" s="54"/>
      <c r="H87" s="52"/>
      <c r="I87" s="52"/>
      <c r="J87" s="52"/>
      <c r="K87" s="52"/>
      <c r="L87" s="52"/>
      <c r="M87" s="52"/>
      <c r="N87" s="52"/>
      <c r="O87" s="52"/>
      <c r="P87" s="52"/>
      <c r="Q87" s="52"/>
      <c r="R87" s="52"/>
      <c r="S87" s="52"/>
      <c r="T87" s="52"/>
      <c r="U87" s="52"/>
      <c r="V87" s="52"/>
      <c r="W87" s="52"/>
      <c r="X87" s="52"/>
      <c r="Y87" s="52">
        <f t="shared" si="37"/>
        <v>0</v>
      </c>
      <c r="Z87" s="52">
        <f t="shared" si="38"/>
        <v>0</v>
      </c>
      <c r="AA87" s="52">
        <f t="shared" si="39"/>
        <v>0</v>
      </c>
      <c r="AB87" s="52" t="s">
        <v>192</v>
      </c>
      <c r="AC87" s="52" t="s">
        <v>234</v>
      </c>
      <c r="AD87" s="52"/>
      <c r="AE87" s="52">
        <f t="shared" si="40"/>
        <v>0</v>
      </c>
      <c r="AF87" s="52">
        <f t="shared" si="41"/>
        <v>0</v>
      </c>
      <c r="AG87" s="52">
        <f t="shared" si="42"/>
        <v>0</v>
      </c>
      <c r="AH87" s="52">
        <f t="shared" si="43"/>
        <v>0</v>
      </c>
      <c r="AI87" s="52">
        <f t="shared" si="44"/>
        <v>0</v>
      </c>
      <c r="AJ87" s="52">
        <f t="shared" si="45"/>
        <v>0</v>
      </c>
      <c r="AK87" s="52">
        <f t="shared" si="46"/>
        <v>0</v>
      </c>
      <c r="AL87" s="52">
        <f t="shared" si="47"/>
        <v>0</v>
      </c>
      <c r="AM87" s="52">
        <f t="shared" si="48"/>
        <v>0</v>
      </c>
      <c r="AN87" s="52">
        <f t="shared" si="49"/>
        <v>0</v>
      </c>
      <c r="AO87" s="52">
        <f t="shared" si="50"/>
        <v>0</v>
      </c>
      <c r="AP87" s="52">
        <f t="shared" si="51"/>
        <v>0</v>
      </c>
      <c r="AQ87" s="52">
        <f t="shared" si="52"/>
        <v>0</v>
      </c>
      <c r="AR87" s="52">
        <f t="shared" si="53"/>
        <v>0</v>
      </c>
      <c r="AS87" s="52">
        <f t="shared" si="54"/>
        <v>0</v>
      </c>
    </row>
    <row r="88" spans="1:45">
      <c r="A88" s="52">
        <v>37</v>
      </c>
      <c r="B88" s="52"/>
      <c r="C88" s="52"/>
      <c r="D88" s="54"/>
      <c r="E88" s="54"/>
      <c r="F88" s="54"/>
      <c r="G88" s="54"/>
      <c r="H88" s="52"/>
      <c r="I88" s="52"/>
      <c r="J88" s="52"/>
      <c r="K88" s="52"/>
      <c r="L88" s="52"/>
      <c r="M88" s="52"/>
      <c r="N88" s="52"/>
      <c r="O88" s="52"/>
      <c r="P88" s="52"/>
      <c r="Q88" s="52"/>
      <c r="R88" s="52"/>
      <c r="S88" s="52"/>
      <c r="T88" s="52"/>
      <c r="U88" s="52"/>
      <c r="V88" s="52"/>
      <c r="W88" s="52"/>
      <c r="X88" s="52"/>
      <c r="Y88" s="52">
        <f t="shared" si="37"/>
        <v>0</v>
      </c>
      <c r="Z88" s="52">
        <f t="shared" si="38"/>
        <v>0</v>
      </c>
      <c r="AA88" s="52">
        <f t="shared" si="39"/>
        <v>0</v>
      </c>
      <c r="AB88" s="52" t="s">
        <v>192</v>
      </c>
      <c r="AC88" s="52" t="s">
        <v>235</v>
      </c>
      <c r="AD88" s="52"/>
      <c r="AE88" s="52">
        <f t="shared" si="40"/>
        <v>0</v>
      </c>
      <c r="AF88" s="52">
        <f t="shared" si="41"/>
        <v>0</v>
      </c>
      <c r="AG88" s="52">
        <f t="shared" si="42"/>
        <v>0</v>
      </c>
      <c r="AH88" s="52">
        <f t="shared" si="43"/>
        <v>0</v>
      </c>
      <c r="AI88" s="52">
        <f t="shared" si="44"/>
        <v>0</v>
      </c>
      <c r="AJ88" s="52">
        <f t="shared" si="45"/>
        <v>0</v>
      </c>
      <c r="AK88" s="52">
        <f t="shared" si="46"/>
        <v>0</v>
      </c>
      <c r="AL88" s="52">
        <f t="shared" si="47"/>
        <v>0</v>
      </c>
      <c r="AM88" s="52">
        <f t="shared" si="48"/>
        <v>0</v>
      </c>
      <c r="AN88" s="52">
        <f t="shared" si="49"/>
        <v>0</v>
      </c>
      <c r="AO88" s="52">
        <f t="shared" si="50"/>
        <v>0</v>
      </c>
      <c r="AP88" s="52">
        <f t="shared" si="51"/>
        <v>0</v>
      </c>
      <c r="AQ88" s="52">
        <f t="shared" si="52"/>
        <v>0</v>
      </c>
      <c r="AR88" s="52">
        <f t="shared" si="53"/>
        <v>0</v>
      </c>
      <c r="AS88" s="52">
        <f t="shared" si="54"/>
        <v>0</v>
      </c>
    </row>
    <row r="89" spans="1:45">
      <c r="A89" s="52">
        <v>37</v>
      </c>
      <c r="B89" s="52"/>
      <c r="C89" s="52"/>
      <c r="D89" s="54"/>
      <c r="E89" s="54"/>
      <c r="F89" s="54"/>
      <c r="G89" s="54"/>
      <c r="H89" s="52"/>
      <c r="I89" s="52"/>
      <c r="J89" s="52"/>
      <c r="K89" s="52"/>
      <c r="L89" s="52"/>
      <c r="M89" s="52"/>
      <c r="N89" s="52"/>
      <c r="O89" s="52"/>
      <c r="P89" s="52"/>
      <c r="Q89" s="52"/>
      <c r="R89" s="52"/>
      <c r="S89" s="52"/>
      <c r="T89" s="52"/>
      <c r="U89" s="52"/>
      <c r="V89" s="52"/>
      <c r="W89" s="52"/>
      <c r="X89" s="52"/>
      <c r="Y89" s="52">
        <f t="shared" si="37"/>
        <v>0</v>
      </c>
      <c r="Z89" s="52">
        <f t="shared" si="38"/>
        <v>0</v>
      </c>
      <c r="AA89" s="52">
        <f t="shared" si="39"/>
        <v>0</v>
      </c>
      <c r="AB89" s="52" t="s">
        <v>192</v>
      </c>
      <c r="AC89" s="52" t="s">
        <v>236</v>
      </c>
      <c r="AD89" s="52"/>
      <c r="AE89" s="52">
        <f t="shared" si="40"/>
        <v>0</v>
      </c>
      <c r="AF89" s="52">
        <f t="shared" si="41"/>
        <v>0</v>
      </c>
      <c r="AG89" s="52">
        <f t="shared" si="42"/>
        <v>0</v>
      </c>
      <c r="AH89" s="52">
        <f t="shared" si="43"/>
        <v>0</v>
      </c>
      <c r="AI89" s="52">
        <f t="shared" si="44"/>
        <v>0</v>
      </c>
      <c r="AJ89" s="52">
        <f t="shared" si="45"/>
        <v>0</v>
      </c>
      <c r="AK89" s="52">
        <f t="shared" si="46"/>
        <v>0</v>
      </c>
      <c r="AL89" s="52">
        <f t="shared" si="47"/>
        <v>0</v>
      </c>
      <c r="AM89" s="52">
        <f t="shared" si="48"/>
        <v>0</v>
      </c>
      <c r="AN89" s="52">
        <f t="shared" si="49"/>
        <v>0</v>
      </c>
      <c r="AO89" s="52">
        <f t="shared" si="50"/>
        <v>0</v>
      </c>
      <c r="AP89" s="52">
        <f t="shared" si="51"/>
        <v>0</v>
      </c>
      <c r="AQ89" s="52">
        <f t="shared" si="52"/>
        <v>0</v>
      </c>
      <c r="AR89" s="52">
        <f t="shared" si="53"/>
        <v>0</v>
      </c>
      <c r="AS89" s="52">
        <f t="shared" si="54"/>
        <v>0</v>
      </c>
    </row>
    <row r="90" spans="1:45">
      <c r="A90" s="52">
        <v>37</v>
      </c>
      <c r="B90" s="52"/>
      <c r="C90" s="52"/>
      <c r="D90" s="54"/>
      <c r="E90" s="54"/>
      <c r="F90" s="54"/>
      <c r="G90" s="54"/>
      <c r="H90" s="52"/>
      <c r="I90" s="52"/>
      <c r="J90" s="52"/>
      <c r="K90" s="52"/>
      <c r="L90" s="52"/>
      <c r="M90" s="52"/>
      <c r="N90" s="52"/>
      <c r="O90" s="52"/>
      <c r="P90" s="52"/>
      <c r="Q90" s="52"/>
      <c r="R90" s="52"/>
      <c r="S90" s="52"/>
      <c r="T90" s="52"/>
      <c r="U90" s="52"/>
      <c r="V90" s="52"/>
      <c r="W90" s="52"/>
      <c r="X90" s="52"/>
      <c r="Y90" s="52">
        <f t="shared" si="37"/>
        <v>0</v>
      </c>
      <c r="Z90" s="52">
        <f t="shared" si="38"/>
        <v>0</v>
      </c>
      <c r="AA90" s="52">
        <f t="shared" si="39"/>
        <v>0</v>
      </c>
      <c r="AB90" s="52" t="s">
        <v>192</v>
      </c>
      <c r="AC90" s="52" t="s">
        <v>237</v>
      </c>
      <c r="AD90" s="52"/>
      <c r="AE90" s="52">
        <f t="shared" si="40"/>
        <v>0</v>
      </c>
      <c r="AF90" s="52">
        <f t="shared" si="41"/>
        <v>0</v>
      </c>
      <c r="AG90" s="52">
        <f t="shared" si="42"/>
        <v>0</v>
      </c>
      <c r="AH90" s="52">
        <f t="shared" si="43"/>
        <v>0</v>
      </c>
      <c r="AI90" s="52">
        <f t="shared" si="44"/>
        <v>0</v>
      </c>
      <c r="AJ90" s="52">
        <f t="shared" si="45"/>
        <v>0</v>
      </c>
      <c r="AK90" s="52">
        <f t="shared" si="46"/>
        <v>0</v>
      </c>
      <c r="AL90" s="52">
        <f t="shared" si="47"/>
        <v>0</v>
      </c>
      <c r="AM90" s="52">
        <f t="shared" si="48"/>
        <v>0</v>
      </c>
      <c r="AN90" s="52">
        <f t="shared" si="49"/>
        <v>0</v>
      </c>
      <c r="AO90" s="52">
        <f t="shared" si="50"/>
        <v>0</v>
      </c>
      <c r="AP90" s="52">
        <f t="shared" si="51"/>
        <v>0</v>
      </c>
      <c r="AQ90" s="52">
        <f t="shared" si="52"/>
        <v>0</v>
      </c>
      <c r="AR90" s="52">
        <f t="shared" si="53"/>
        <v>0</v>
      </c>
      <c r="AS90" s="52">
        <f t="shared" si="54"/>
        <v>0</v>
      </c>
    </row>
    <row r="91" spans="1:45">
      <c r="A91" s="52">
        <v>37</v>
      </c>
      <c r="B91" s="52"/>
      <c r="C91" s="52"/>
      <c r="D91" s="54"/>
      <c r="E91" s="54"/>
      <c r="F91" s="54"/>
      <c r="G91" s="54"/>
      <c r="H91" s="52"/>
      <c r="I91" s="52"/>
      <c r="J91" s="52"/>
      <c r="K91" s="52"/>
      <c r="L91" s="52"/>
      <c r="M91" s="52"/>
      <c r="N91" s="52"/>
      <c r="O91" s="52"/>
      <c r="P91" s="52"/>
      <c r="Q91" s="52"/>
      <c r="R91" s="52"/>
      <c r="S91" s="52"/>
      <c r="T91" s="52"/>
      <c r="U91" s="52"/>
      <c r="V91" s="52"/>
      <c r="W91" s="52"/>
      <c r="X91" s="52"/>
      <c r="Y91" s="52">
        <f t="shared" si="37"/>
        <v>0</v>
      </c>
      <c r="Z91" s="52">
        <f t="shared" si="38"/>
        <v>0</v>
      </c>
      <c r="AA91" s="52">
        <f t="shared" si="39"/>
        <v>0</v>
      </c>
      <c r="AB91" s="52" t="s">
        <v>192</v>
      </c>
      <c r="AC91" s="52" t="s">
        <v>238</v>
      </c>
      <c r="AD91" s="52"/>
      <c r="AE91" s="52">
        <f t="shared" si="40"/>
        <v>0</v>
      </c>
      <c r="AF91" s="52">
        <f t="shared" si="41"/>
        <v>0</v>
      </c>
      <c r="AG91" s="52">
        <f t="shared" si="42"/>
        <v>0</v>
      </c>
      <c r="AH91" s="52">
        <f t="shared" si="43"/>
        <v>0</v>
      </c>
      <c r="AI91" s="52">
        <f t="shared" si="44"/>
        <v>0</v>
      </c>
      <c r="AJ91" s="52">
        <f t="shared" si="45"/>
        <v>0</v>
      </c>
      <c r="AK91" s="52">
        <f t="shared" si="46"/>
        <v>0</v>
      </c>
      <c r="AL91" s="52">
        <f t="shared" si="47"/>
        <v>0</v>
      </c>
      <c r="AM91" s="52">
        <f t="shared" si="48"/>
        <v>0</v>
      </c>
      <c r="AN91" s="52">
        <f t="shared" si="49"/>
        <v>0</v>
      </c>
      <c r="AO91" s="52">
        <f t="shared" si="50"/>
        <v>0</v>
      </c>
      <c r="AP91" s="52">
        <f t="shared" si="51"/>
        <v>0</v>
      </c>
      <c r="AQ91" s="52">
        <f t="shared" si="52"/>
        <v>0</v>
      </c>
      <c r="AR91" s="52">
        <f t="shared" si="53"/>
        <v>0</v>
      </c>
      <c r="AS91" s="52">
        <f t="shared" si="54"/>
        <v>0</v>
      </c>
    </row>
    <row r="92" spans="1:45">
      <c r="A92" s="52">
        <v>37</v>
      </c>
      <c r="B92" s="52"/>
      <c r="C92" s="52"/>
      <c r="D92" s="54"/>
      <c r="E92" s="54"/>
      <c r="F92" s="54"/>
      <c r="G92" s="54"/>
      <c r="H92" s="52"/>
      <c r="I92" s="52"/>
      <c r="J92" s="52"/>
      <c r="K92" s="52"/>
      <c r="L92" s="52"/>
      <c r="M92" s="52"/>
      <c r="N92" s="52"/>
      <c r="O92" s="52"/>
      <c r="P92" s="52"/>
      <c r="Q92" s="52"/>
      <c r="R92" s="52"/>
      <c r="S92" s="52"/>
      <c r="T92" s="52"/>
      <c r="U92" s="52"/>
      <c r="V92" s="52"/>
      <c r="W92" s="52"/>
      <c r="X92" s="52"/>
      <c r="Y92" s="52">
        <f t="shared" si="37"/>
        <v>0</v>
      </c>
      <c r="Z92" s="52">
        <f t="shared" si="38"/>
        <v>0</v>
      </c>
      <c r="AA92" s="52">
        <f t="shared" si="39"/>
        <v>0</v>
      </c>
      <c r="AB92" s="52" t="s">
        <v>192</v>
      </c>
      <c r="AC92" s="52" t="s">
        <v>239</v>
      </c>
      <c r="AD92" s="52"/>
      <c r="AE92" s="52">
        <f t="shared" si="40"/>
        <v>0</v>
      </c>
      <c r="AF92" s="52">
        <f t="shared" si="41"/>
        <v>0</v>
      </c>
      <c r="AG92" s="52">
        <f t="shared" si="42"/>
        <v>0</v>
      </c>
      <c r="AH92" s="52">
        <f t="shared" si="43"/>
        <v>0</v>
      </c>
      <c r="AI92" s="52">
        <f t="shared" si="44"/>
        <v>0</v>
      </c>
      <c r="AJ92" s="52">
        <f t="shared" si="45"/>
        <v>0</v>
      </c>
      <c r="AK92" s="52">
        <f t="shared" si="46"/>
        <v>0</v>
      </c>
      <c r="AL92" s="52">
        <f t="shared" si="47"/>
        <v>0</v>
      </c>
      <c r="AM92" s="52">
        <f t="shared" si="48"/>
        <v>0</v>
      </c>
      <c r="AN92" s="52">
        <f t="shared" si="49"/>
        <v>0</v>
      </c>
      <c r="AO92" s="52">
        <f t="shared" si="50"/>
        <v>0</v>
      </c>
      <c r="AP92" s="52">
        <f t="shared" si="51"/>
        <v>0</v>
      </c>
      <c r="AQ92" s="52">
        <f t="shared" si="52"/>
        <v>0</v>
      </c>
      <c r="AR92" s="52">
        <f t="shared" si="53"/>
        <v>0</v>
      </c>
      <c r="AS92" s="52">
        <f t="shared" si="54"/>
        <v>0</v>
      </c>
    </row>
    <row r="93" spans="1:45">
      <c r="A93" s="52">
        <v>37</v>
      </c>
      <c r="B93" s="52"/>
      <c r="C93" s="52"/>
      <c r="D93" s="54"/>
      <c r="E93" s="54"/>
      <c r="F93" s="54"/>
      <c r="G93" s="54"/>
      <c r="H93" s="52"/>
      <c r="I93" s="52"/>
      <c r="J93" s="52"/>
      <c r="K93" s="52"/>
      <c r="L93" s="52"/>
      <c r="M93" s="52"/>
      <c r="N93" s="52"/>
      <c r="O93" s="52"/>
      <c r="P93" s="52"/>
      <c r="Q93" s="52"/>
      <c r="R93" s="52"/>
      <c r="S93" s="52"/>
      <c r="T93" s="52"/>
      <c r="U93" s="52"/>
      <c r="V93" s="52"/>
      <c r="W93" s="52"/>
      <c r="X93" s="52"/>
      <c r="Y93" s="52">
        <f t="shared" ref="Y93:Y110" si="55">IF(UPPER(TRIM($W93&amp;""))="CANCELLED",0,IFERROR(0+$M93,0))</f>
        <v>0</v>
      </c>
      <c r="Z93" s="52">
        <f t="shared" ref="Z93:Z110" si="56">IF(UPPER(TRIM($W93&amp;""))="CANCELLED",0,IFERROR((IFERROR(0+$M93,0))*IF(IFERROR(0+TRIM($N93&amp;""),0)=4,2,IF(IFERROR(0+TRIM($N93&amp;""),0)=2,1,0)),0))</f>
        <v>0</v>
      </c>
      <c r="AA93" s="52">
        <f t="shared" ref="AA93:AA110" si="57">IF(UPPER(TRIM($W93&amp;""))="CANCELLED",0,IFERROR(0+$P93,0))</f>
        <v>0</v>
      </c>
      <c r="AB93" s="52" t="s">
        <v>192</v>
      </c>
      <c r="AC93" s="52" t="s">
        <v>240</v>
      </c>
      <c r="AD93" s="52"/>
      <c r="AE93" s="52">
        <f t="shared" ref="AE93:AE110" si="58">IF(UPPER(TRIM($W93&amp;""))="CANCELLED",0,IF(UPPER(TRIM($AD93&amp;""))="EMPTY",0,IFERROR(0+$M93,0)))</f>
        <v>0</v>
      </c>
      <c r="AF93" s="52">
        <f t="shared" ref="AF93:AF110" si="59">IF(UPPER(TRIM($W93&amp;""))="CANCELLED",0,IF(UPPER(TRIM($AD93&amp;""))="EMPTY",IFERROR(0+$M93,0),0))</f>
        <v>0</v>
      </c>
      <c r="AG93" s="52">
        <f t="shared" ref="AG93:AG110" si="60">AE93+AF93</f>
        <v>0</v>
      </c>
      <c r="AH93" s="52">
        <f t="shared" ref="AH93:AH110" si="61">IF(UPPER(TRIM($W93&amp;""))="CANCELLED",0,IF(AND(NOT(UPPER(TRIM($AD93&amp;""))="EMPTY"),IFERROR(0+TRIM($N93&amp;""),0)=2),IFERROR(0+$M93,0),0))</f>
        <v>0</v>
      </c>
      <c r="AI93" s="52">
        <f t="shared" ref="AI93:AI110" si="62">IF(UPPER(TRIM($W93&amp;""))="CANCELLED",0,IF(AND(UPPER(TRIM($AD93&amp;""))="EMPTY",IFERROR(0+TRIM($N93&amp;""),0)=2),IFERROR(0+$M93,0),0))</f>
        <v>0</v>
      </c>
      <c r="AJ93" s="52">
        <f t="shared" ref="AJ93:AJ110" si="63">AH93+AI93</f>
        <v>0</v>
      </c>
      <c r="AK93" s="52">
        <f t="shared" ref="AK93:AK110" si="64">IF(UPPER(TRIM($W93&amp;""))="CANCELLED",0,IF(AND(NOT(UPPER(TRIM($AD93&amp;""))="EMPTY"),IFERROR(0+TRIM($N93&amp;""),0)=4),IFERROR(0+$M93,0),0))</f>
        <v>0</v>
      </c>
      <c r="AL93" s="52">
        <f t="shared" ref="AL93:AL110" si="65">IF(UPPER(TRIM($W93&amp;""))="CANCELLED",0,IF(AND(UPPER(TRIM($AD93&amp;""))="EMPTY",IFERROR(0+TRIM($N93&amp;""),0)=4),IFERROR(0+$M93,0),0))</f>
        <v>0</v>
      </c>
      <c r="AM93" s="52">
        <f t="shared" ref="AM93:AM110" si="66">AK93+AL93</f>
        <v>0</v>
      </c>
      <c r="AN93" s="52">
        <f t="shared" ref="AN93:AN110" si="67">IF(UPPER(TRIM($W93&amp;""))="CANCELLED",0,IF(UPPER(TRIM($AD93&amp;""))="EMPTY",0,IFERROR((IFERROR(0+$M93,0))*IF(IFERROR(0+TRIM($N93&amp;""),0)=4,2,IF(IFERROR(0+TRIM($N93&amp;""),0)=2,1,0)),0)))</f>
        <v>0</v>
      </c>
      <c r="AO93" s="52">
        <f t="shared" ref="AO93:AO110" si="68">IF(UPPER(TRIM($W93&amp;""))="CANCELLED",0,IF(UPPER(TRIM($AD93&amp;""))="EMPTY",IFERROR((IFERROR(0+$M93,0))*IF(IFERROR(0+TRIM($N93&amp;""),0)=4,2,IF(IFERROR(0+TRIM($N93&amp;""),0)=2,1,0)),0),0))</f>
        <v>0</v>
      </c>
      <c r="AP93" s="52">
        <f t="shared" ref="AP93:AP110" si="69">AN93+AO93</f>
        <v>0</v>
      </c>
      <c r="AQ93" s="52">
        <f t="shared" ref="AQ93:AQ110" si="70">IF(UPPER(TRIM($W93&amp;""))="CANCELLED",0,IF(UPPER(TRIM($AD93&amp;""))="EMPTY",0,IFERROR(0+$P93,0)))</f>
        <v>0</v>
      </c>
      <c r="AR93" s="52">
        <f t="shared" ref="AR93:AR110" si="71">IF(UPPER(TRIM($W93&amp;""))="CANCELLED",0,IF(UPPER(TRIM($AD93&amp;""))="EMPTY",IFERROR(0+$P93,0),0))</f>
        <v>0</v>
      </c>
      <c r="AS93" s="52">
        <f t="shared" ref="AS93:AS110" si="72">AQ93+AR93</f>
        <v>0</v>
      </c>
    </row>
    <row r="94" spans="1:45">
      <c r="A94" s="52">
        <v>37</v>
      </c>
      <c r="B94" s="52"/>
      <c r="C94" s="52"/>
      <c r="D94" s="54"/>
      <c r="E94" s="54"/>
      <c r="F94" s="54"/>
      <c r="G94" s="54"/>
      <c r="H94" s="52"/>
      <c r="I94" s="52"/>
      <c r="J94" s="52"/>
      <c r="K94" s="52"/>
      <c r="L94" s="52"/>
      <c r="M94" s="52"/>
      <c r="N94" s="52"/>
      <c r="O94" s="52"/>
      <c r="P94" s="52"/>
      <c r="Q94" s="52"/>
      <c r="R94" s="52"/>
      <c r="S94" s="52"/>
      <c r="T94" s="52"/>
      <c r="U94" s="52"/>
      <c r="V94" s="52"/>
      <c r="W94" s="52"/>
      <c r="X94" s="52"/>
      <c r="Y94" s="52">
        <f t="shared" si="55"/>
        <v>0</v>
      </c>
      <c r="Z94" s="52">
        <f t="shared" si="56"/>
        <v>0</v>
      </c>
      <c r="AA94" s="52">
        <f t="shared" si="57"/>
        <v>0</v>
      </c>
      <c r="AB94" s="52" t="s">
        <v>192</v>
      </c>
      <c r="AC94" s="52" t="s">
        <v>241</v>
      </c>
      <c r="AD94" s="52"/>
      <c r="AE94" s="52">
        <f t="shared" si="58"/>
        <v>0</v>
      </c>
      <c r="AF94" s="52">
        <f t="shared" si="59"/>
        <v>0</v>
      </c>
      <c r="AG94" s="52">
        <f t="shared" si="60"/>
        <v>0</v>
      </c>
      <c r="AH94" s="52">
        <f t="shared" si="61"/>
        <v>0</v>
      </c>
      <c r="AI94" s="52">
        <f t="shared" si="62"/>
        <v>0</v>
      </c>
      <c r="AJ94" s="52">
        <f t="shared" si="63"/>
        <v>0</v>
      </c>
      <c r="AK94" s="52">
        <f t="shared" si="64"/>
        <v>0</v>
      </c>
      <c r="AL94" s="52">
        <f t="shared" si="65"/>
        <v>0</v>
      </c>
      <c r="AM94" s="52">
        <f t="shared" si="66"/>
        <v>0</v>
      </c>
      <c r="AN94" s="52">
        <f t="shared" si="67"/>
        <v>0</v>
      </c>
      <c r="AO94" s="52">
        <f t="shared" si="68"/>
        <v>0</v>
      </c>
      <c r="AP94" s="52">
        <f t="shared" si="69"/>
        <v>0</v>
      </c>
      <c r="AQ94" s="52">
        <f t="shared" si="70"/>
        <v>0</v>
      </c>
      <c r="AR94" s="52">
        <f t="shared" si="71"/>
        <v>0</v>
      </c>
      <c r="AS94" s="52">
        <f t="shared" si="72"/>
        <v>0</v>
      </c>
    </row>
    <row r="95" spans="1:45">
      <c r="A95" s="52">
        <v>37</v>
      </c>
      <c r="B95" s="52"/>
      <c r="C95" s="52"/>
      <c r="D95" s="54"/>
      <c r="E95" s="54"/>
      <c r="F95" s="54"/>
      <c r="G95" s="54"/>
      <c r="H95" s="52"/>
      <c r="I95" s="52"/>
      <c r="J95" s="52"/>
      <c r="K95" s="52"/>
      <c r="L95" s="52"/>
      <c r="M95" s="52"/>
      <c r="N95" s="52"/>
      <c r="O95" s="52"/>
      <c r="P95" s="52"/>
      <c r="Q95" s="52"/>
      <c r="R95" s="52"/>
      <c r="S95" s="52"/>
      <c r="T95" s="52"/>
      <c r="U95" s="52"/>
      <c r="V95" s="52"/>
      <c r="W95" s="52"/>
      <c r="X95" s="52"/>
      <c r="Y95" s="52">
        <f t="shared" si="55"/>
        <v>0</v>
      </c>
      <c r="Z95" s="52">
        <f t="shared" si="56"/>
        <v>0</v>
      </c>
      <c r="AA95" s="52">
        <f t="shared" si="57"/>
        <v>0</v>
      </c>
      <c r="AB95" s="52" t="s">
        <v>192</v>
      </c>
      <c r="AC95" s="52" t="s">
        <v>242</v>
      </c>
      <c r="AD95" s="52"/>
      <c r="AE95" s="52">
        <f t="shared" si="58"/>
        <v>0</v>
      </c>
      <c r="AF95" s="52">
        <f t="shared" si="59"/>
        <v>0</v>
      </c>
      <c r="AG95" s="52">
        <f t="shared" si="60"/>
        <v>0</v>
      </c>
      <c r="AH95" s="52">
        <f t="shared" si="61"/>
        <v>0</v>
      </c>
      <c r="AI95" s="52">
        <f t="shared" si="62"/>
        <v>0</v>
      </c>
      <c r="AJ95" s="52">
        <f t="shared" si="63"/>
        <v>0</v>
      </c>
      <c r="AK95" s="52">
        <f t="shared" si="64"/>
        <v>0</v>
      </c>
      <c r="AL95" s="52">
        <f t="shared" si="65"/>
        <v>0</v>
      </c>
      <c r="AM95" s="52">
        <f t="shared" si="66"/>
        <v>0</v>
      </c>
      <c r="AN95" s="52">
        <f t="shared" si="67"/>
        <v>0</v>
      </c>
      <c r="AO95" s="52">
        <f t="shared" si="68"/>
        <v>0</v>
      </c>
      <c r="AP95" s="52">
        <f t="shared" si="69"/>
        <v>0</v>
      </c>
      <c r="AQ95" s="52">
        <f t="shared" si="70"/>
        <v>0</v>
      </c>
      <c r="AR95" s="52">
        <f t="shared" si="71"/>
        <v>0</v>
      </c>
      <c r="AS95" s="52">
        <f t="shared" si="72"/>
        <v>0</v>
      </c>
    </row>
    <row r="96" spans="1:45">
      <c r="A96" s="52">
        <v>37</v>
      </c>
      <c r="B96" s="52"/>
      <c r="C96" s="52"/>
      <c r="D96" s="54"/>
      <c r="E96" s="54"/>
      <c r="F96" s="54"/>
      <c r="G96" s="54"/>
      <c r="H96" s="52"/>
      <c r="I96" s="52"/>
      <c r="J96" s="52"/>
      <c r="K96" s="52"/>
      <c r="L96" s="52"/>
      <c r="M96" s="52"/>
      <c r="N96" s="52"/>
      <c r="O96" s="52"/>
      <c r="P96" s="52"/>
      <c r="Q96" s="52"/>
      <c r="R96" s="52"/>
      <c r="S96" s="52"/>
      <c r="T96" s="52"/>
      <c r="U96" s="52"/>
      <c r="V96" s="52"/>
      <c r="W96" s="52"/>
      <c r="X96" s="52"/>
      <c r="Y96" s="52">
        <f t="shared" si="55"/>
        <v>0</v>
      </c>
      <c r="Z96" s="52">
        <f t="shared" si="56"/>
        <v>0</v>
      </c>
      <c r="AA96" s="52">
        <f t="shared" si="57"/>
        <v>0</v>
      </c>
      <c r="AB96" s="52" t="s">
        <v>192</v>
      </c>
      <c r="AC96" s="52" t="s">
        <v>243</v>
      </c>
      <c r="AD96" s="52"/>
      <c r="AE96" s="52">
        <f t="shared" si="58"/>
        <v>0</v>
      </c>
      <c r="AF96" s="52">
        <f t="shared" si="59"/>
        <v>0</v>
      </c>
      <c r="AG96" s="52">
        <f t="shared" si="60"/>
        <v>0</v>
      </c>
      <c r="AH96" s="52">
        <f t="shared" si="61"/>
        <v>0</v>
      </c>
      <c r="AI96" s="52">
        <f t="shared" si="62"/>
        <v>0</v>
      </c>
      <c r="AJ96" s="52">
        <f t="shared" si="63"/>
        <v>0</v>
      </c>
      <c r="AK96" s="52">
        <f t="shared" si="64"/>
        <v>0</v>
      </c>
      <c r="AL96" s="52">
        <f t="shared" si="65"/>
        <v>0</v>
      </c>
      <c r="AM96" s="52">
        <f t="shared" si="66"/>
        <v>0</v>
      </c>
      <c r="AN96" s="52">
        <f t="shared" si="67"/>
        <v>0</v>
      </c>
      <c r="AO96" s="52">
        <f t="shared" si="68"/>
        <v>0</v>
      </c>
      <c r="AP96" s="52">
        <f t="shared" si="69"/>
        <v>0</v>
      </c>
      <c r="AQ96" s="52">
        <f t="shared" si="70"/>
        <v>0</v>
      </c>
      <c r="AR96" s="52">
        <f t="shared" si="71"/>
        <v>0</v>
      </c>
      <c r="AS96" s="52">
        <f t="shared" si="72"/>
        <v>0</v>
      </c>
    </row>
    <row r="97" spans="1:45">
      <c r="A97" s="52">
        <v>37</v>
      </c>
      <c r="B97" s="52"/>
      <c r="C97" s="52"/>
      <c r="D97" s="54"/>
      <c r="E97" s="54"/>
      <c r="F97" s="54"/>
      <c r="G97" s="54"/>
      <c r="H97" s="52"/>
      <c r="I97" s="52"/>
      <c r="J97" s="52"/>
      <c r="K97" s="52"/>
      <c r="L97" s="52"/>
      <c r="M97" s="52"/>
      <c r="N97" s="52"/>
      <c r="O97" s="52"/>
      <c r="P97" s="52"/>
      <c r="Q97" s="52"/>
      <c r="R97" s="52"/>
      <c r="S97" s="52"/>
      <c r="T97" s="52"/>
      <c r="U97" s="52"/>
      <c r="V97" s="52"/>
      <c r="W97" s="52"/>
      <c r="X97" s="52"/>
      <c r="Y97" s="52">
        <f t="shared" si="55"/>
        <v>0</v>
      </c>
      <c r="Z97" s="52">
        <f t="shared" si="56"/>
        <v>0</v>
      </c>
      <c r="AA97" s="52">
        <f t="shared" si="57"/>
        <v>0</v>
      </c>
      <c r="AB97" s="52" t="s">
        <v>192</v>
      </c>
      <c r="AC97" s="52" t="s">
        <v>244</v>
      </c>
      <c r="AD97" s="52"/>
      <c r="AE97" s="52">
        <f t="shared" si="58"/>
        <v>0</v>
      </c>
      <c r="AF97" s="52">
        <f t="shared" si="59"/>
        <v>0</v>
      </c>
      <c r="AG97" s="52">
        <f t="shared" si="60"/>
        <v>0</v>
      </c>
      <c r="AH97" s="52">
        <f t="shared" si="61"/>
        <v>0</v>
      </c>
      <c r="AI97" s="52">
        <f t="shared" si="62"/>
        <v>0</v>
      </c>
      <c r="AJ97" s="52">
        <f t="shared" si="63"/>
        <v>0</v>
      </c>
      <c r="AK97" s="52">
        <f t="shared" si="64"/>
        <v>0</v>
      </c>
      <c r="AL97" s="52">
        <f t="shared" si="65"/>
        <v>0</v>
      </c>
      <c r="AM97" s="52">
        <f t="shared" si="66"/>
        <v>0</v>
      </c>
      <c r="AN97" s="52">
        <f t="shared" si="67"/>
        <v>0</v>
      </c>
      <c r="AO97" s="52">
        <f t="shared" si="68"/>
        <v>0</v>
      </c>
      <c r="AP97" s="52">
        <f t="shared" si="69"/>
        <v>0</v>
      </c>
      <c r="AQ97" s="52">
        <f t="shared" si="70"/>
        <v>0</v>
      </c>
      <c r="AR97" s="52">
        <f t="shared" si="71"/>
        <v>0</v>
      </c>
      <c r="AS97" s="52">
        <f t="shared" si="72"/>
        <v>0</v>
      </c>
    </row>
    <row r="98" spans="1:45">
      <c r="A98" s="52">
        <v>37</v>
      </c>
      <c r="B98" s="52"/>
      <c r="C98" s="52"/>
      <c r="D98" s="54"/>
      <c r="E98" s="54"/>
      <c r="F98" s="54"/>
      <c r="G98" s="54"/>
      <c r="H98" s="52"/>
      <c r="I98" s="52"/>
      <c r="J98" s="52"/>
      <c r="K98" s="52"/>
      <c r="L98" s="52"/>
      <c r="M98" s="52"/>
      <c r="N98" s="52"/>
      <c r="O98" s="52"/>
      <c r="P98" s="52"/>
      <c r="Q98" s="52"/>
      <c r="R98" s="52"/>
      <c r="S98" s="52"/>
      <c r="T98" s="52"/>
      <c r="U98" s="52"/>
      <c r="V98" s="52"/>
      <c r="W98" s="52"/>
      <c r="X98" s="52"/>
      <c r="Y98" s="52">
        <f t="shared" si="55"/>
        <v>0</v>
      </c>
      <c r="Z98" s="52">
        <f t="shared" si="56"/>
        <v>0</v>
      </c>
      <c r="AA98" s="52">
        <f t="shared" si="57"/>
        <v>0</v>
      </c>
      <c r="AB98" s="52" t="s">
        <v>192</v>
      </c>
      <c r="AC98" s="52" t="s">
        <v>245</v>
      </c>
      <c r="AD98" s="52"/>
      <c r="AE98" s="52">
        <f t="shared" si="58"/>
        <v>0</v>
      </c>
      <c r="AF98" s="52">
        <f t="shared" si="59"/>
        <v>0</v>
      </c>
      <c r="AG98" s="52">
        <f t="shared" si="60"/>
        <v>0</v>
      </c>
      <c r="AH98" s="52">
        <f t="shared" si="61"/>
        <v>0</v>
      </c>
      <c r="AI98" s="52">
        <f t="shared" si="62"/>
        <v>0</v>
      </c>
      <c r="AJ98" s="52">
        <f t="shared" si="63"/>
        <v>0</v>
      </c>
      <c r="AK98" s="52">
        <f t="shared" si="64"/>
        <v>0</v>
      </c>
      <c r="AL98" s="52">
        <f t="shared" si="65"/>
        <v>0</v>
      </c>
      <c r="AM98" s="52">
        <f t="shared" si="66"/>
        <v>0</v>
      </c>
      <c r="AN98" s="52">
        <f t="shared" si="67"/>
        <v>0</v>
      </c>
      <c r="AO98" s="52">
        <f t="shared" si="68"/>
        <v>0</v>
      </c>
      <c r="AP98" s="52">
        <f t="shared" si="69"/>
        <v>0</v>
      </c>
      <c r="AQ98" s="52">
        <f t="shared" si="70"/>
        <v>0</v>
      </c>
      <c r="AR98" s="52">
        <f t="shared" si="71"/>
        <v>0</v>
      </c>
      <c r="AS98" s="52">
        <f t="shared" si="72"/>
        <v>0</v>
      </c>
    </row>
    <row r="99" spans="1:45">
      <c r="A99" s="52">
        <v>37</v>
      </c>
      <c r="B99" s="52"/>
      <c r="C99" s="52"/>
      <c r="D99" s="54"/>
      <c r="E99" s="54"/>
      <c r="F99" s="54"/>
      <c r="G99" s="54"/>
      <c r="H99" s="52"/>
      <c r="I99" s="52"/>
      <c r="J99" s="52"/>
      <c r="K99" s="52"/>
      <c r="L99" s="52"/>
      <c r="M99" s="52"/>
      <c r="N99" s="52"/>
      <c r="O99" s="52"/>
      <c r="P99" s="52"/>
      <c r="Q99" s="52"/>
      <c r="R99" s="52"/>
      <c r="S99" s="52"/>
      <c r="T99" s="52"/>
      <c r="U99" s="52"/>
      <c r="V99" s="52"/>
      <c r="W99" s="52"/>
      <c r="X99" s="52"/>
      <c r="Y99" s="52">
        <f t="shared" si="55"/>
        <v>0</v>
      </c>
      <c r="Z99" s="52">
        <f t="shared" si="56"/>
        <v>0</v>
      </c>
      <c r="AA99" s="52">
        <f t="shared" si="57"/>
        <v>0</v>
      </c>
      <c r="AB99" s="52" t="s">
        <v>192</v>
      </c>
      <c r="AC99" s="52" t="s">
        <v>246</v>
      </c>
      <c r="AD99" s="52"/>
      <c r="AE99" s="52">
        <f t="shared" si="58"/>
        <v>0</v>
      </c>
      <c r="AF99" s="52">
        <f t="shared" si="59"/>
        <v>0</v>
      </c>
      <c r="AG99" s="52">
        <f t="shared" si="60"/>
        <v>0</v>
      </c>
      <c r="AH99" s="52">
        <f t="shared" si="61"/>
        <v>0</v>
      </c>
      <c r="AI99" s="52">
        <f t="shared" si="62"/>
        <v>0</v>
      </c>
      <c r="AJ99" s="52">
        <f t="shared" si="63"/>
        <v>0</v>
      </c>
      <c r="AK99" s="52">
        <f t="shared" si="64"/>
        <v>0</v>
      </c>
      <c r="AL99" s="52">
        <f t="shared" si="65"/>
        <v>0</v>
      </c>
      <c r="AM99" s="52">
        <f t="shared" si="66"/>
        <v>0</v>
      </c>
      <c r="AN99" s="52">
        <f t="shared" si="67"/>
        <v>0</v>
      </c>
      <c r="AO99" s="52">
        <f t="shared" si="68"/>
        <v>0</v>
      </c>
      <c r="AP99" s="52">
        <f t="shared" si="69"/>
        <v>0</v>
      </c>
      <c r="AQ99" s="52">
        <f t="shared" si="70"/>
        <v>0</v>
      </c>
      <c r="AR99" s="52">
        <f t="shared" si="71"/>
        <v>0</v>
      </c>
      <c r="AS99" s="52">
        <f t="shared" si="72"/>
        <v>0</v>
      </c>
    </row>
    <row r="100" spans="1:45">
      <c r="A100" s="52">
        <v>37</v>
      </c>
      <c r="B100" s="52"/>
      <c r="C100" s="52"/>
      <c r="D100" s="54"/>
      <c r="E100" s="54"/>
      <c r="F100" s="54"/>
      <c r="G100" s="54"/>
      <c r="H100" s="52"/>
      <c r="I100" s="52"/>
      <c r="J100" s="52"/>
      <c r="K100" s="52"/>
      <c r="L100" s="52"/>
      <c r="M100" s="52"/>
      <c r="N100" s="52"/>
      <c r="O100" s="52"/>
      <c r="P100" s="52"/>
      <c r="Q100" s="52"/>
      <c r="R100" s="52"/>
      <c r="S100" s="52"/>
      <c r="T100" s="52"/>
      <c r="U100" s="52"/>
      <c r="V100" s="52"/>
      <c r="W100" s="52"/>
      <c r="X100" s="52"/>
      <c r="Y100" s="52">
        <f t="shared" si="55"/>
        <v>0</v>
      </c>
      <c r="Z100" s="52">
        <f t="shared" si="56"/>
        <v>0</v>
      </c>
      <c r="AA100" s="52">
        <f t="shared" si="57"/>
        <v>0</v>
      </c>
      <c r="AB100" s="52" t="s">
        <v>192</v>
      </c>
      <c r="AC100" s="52" t="s">
        <v>247</v>
      </c>
      <c r="AD100" s="52"/>
      <c r="AE100" s="52">
        <f t="shared" si="58"/>
        <v>0</v>
      </c>
      <c r="AF100" s="52">
        <f t="shared" si="59"/>
        <v>0</v>
      </c>
      <c r="AG100" s="52">
        <f t="shared" si="60"/>
        <v>0</v>
      </c>
      <c r="AH100" s="52">
        <f t="shared" si="61"/>
        <v>0</v>
      </c>
      <c r="AI100" s="52">
        <f t="shared" si="62"/>
        <v>0</v>
      </c>
      <c r="AJ100" s="52">
        <f t="shared" si="63"/>
        <v>0</v>
      </c>
      <c r="AK100" s="52">
        <f t="shared" si="64"/>
        <v>0</v>
      </c>
      <c r="AL100" s="52">
        <f t="shared" si="65"/>
        <v>0</v>
      </c>
      <c r="AM100" s="52">
        <f t="shared" si="66"/>
        <v>0</v>
      </c>
      <c r="AN100" s="52">
        <f t="shared" si="67"/>
        <v>0</v>
      </c>
      <c r="AO100" s="52">
        <f t="shared" si="68"/>
        <v>0</v>
      </c>
      <c r="AP100" s="52">
        <f t="shared" si="69"/>
        <v>0</v>
      </c>
      <c r="AQ100" s="52">
        <f t="shared" si="70"/>
        <v>0</v>
      </c>
      <c r="AR100" s="52">
        <f t="shared" si="71"/>
        <v>0</v>
      </c>
      <c r="AS100" s="52">
        <f t="shared" si="72"/>
        <v>0</v>
      </c>
    </row>
    <row r="101" spans="1:45">
      <c r="A101" s="52">
        <v>37</v>
      </c>
      <c r="B101" s="52"/>
      <c r="C101" s="52"/>
      <c r="D101" s="54"/>
      <c r="E101" s="54"/>
      <c r="F101" s="54"/>
      <c r="G101" s="54"/>
      <c r="H101" s="52"/>
      <c r="I101" s="52"/>
      <c r="J101" s="52"/>
      <c r="K101" s="52"/>
      <c r="L101" s="52"/>
      <c r="M101" s="52"/>
      <c r="N101" s="52"/>
      <c r="O101" s="52"/>
      <c r="P101" s="52"/>
      <c r="Q101" s="52"/>
      <c r="R101" s="52"/>
      <c r="S101" s="52"/>
      <c r="T101" s="52"/>
      <c r="U101" s="52"/>
      <c r="V101" s="52"/>
      <c r="W101" s="52"/>
      <c r="X101" s="52"/>
      <c r="Y101" s="52">
        <f t="shared" si="55"/>
        <v>0</v>
      </c>
      <c r="Z101" s="52">
        <f t="shared" si="56"/>
        <v>0</v>
      </c>
      <c r="AA101" s="52">
        <f t="shared" si="57"/>
        <v>0</v>
      </c>
      <c r="AB101" s="52" t="s">
        <v>192</v>
      </c>
      <c r="AC101" s="52" t="s">
        <v>248</v>
      </c>
      <c r="AD101" s="52"/>
      <c r="AE101" s="52">
        <f t="shared" si="58"/>
        <v>0</v>
      </c>
      <c r="AF101" s="52">
        <f t="shared" si="59"/>
        <v>0</v>
      </c>
      <c r="AG101" s="52">
        <f t="shared" si="60"/>
        <v>0</v>
      </c>
      <c r="AH101" s="52">
        <f t="shared" si="61"/>
        <v>0</v>
      </c>
      <c r="AI101" s="52">
        <f t="shared" si="62"/>
        <v>0</v>
      </c>
      <c r="AJ101" s="52">
        <f t="shared" si="63"/>
        <v>0</v>
      </c>
      <c r="AK101" s="52">
        <f t="shared" si="64"/>
        <v>0</v>
      </c>
      <c r="AL101" s="52">
        <f t="shared" si="65"/>
        <v>0</v>
      </c>
      <c r="AM101" s="52">
        <f t="shared" si="66"/>
        <v>0</v>
      </c>
      <c r="AN101" s="52">
        <f t="shared" si="67"/>
        <v>0</v>
      </c>
      <c r="AO101" s="52">
        <f t="shared" si="68"/>
        <v>0</v>
      </c>
      <c r="AP101" s="52">
        <f t="shared" si="69"/>
        <v>0</v>
      </c>
      <c r="AQ101" s="52">
        <f t="shared" si="70"/>
        <v>0</v>
      </c>
      <c r="AR101" s="52">
        <f t="shared" si="71"/>
        <v>0</v>
      </c>
      <c r="AS101" s="52">
        <f t="shared" si="72"/>
        <v>0</v>
      </c>
    </row>
    <row r="102" spans="1:45">
      <c r="A102" s="52">
        <v>37</v>
      </c>
      <c r="B102" s="52"/>
      <c r="C102" s="52"/>
      <c r="D102" s="54"/>
      <c r="E102" s="54"/>
      <c r="F102" s="54"/>
      <c r="G102" s="54"/>
      <c r="H102" s="52"/>
      <c r="I102" s="52"/>
      <c r="J102" s="52"/>
      <c r="K102" s="52"/>
      <c r="L102" s="52"/>
      <c r="M102" s="52"/>
      <c r="N102" s="52"/>
      <c r="O102" s="52"/>
      <c r="P102" s="52"/>
      <c r="Q102" s="52"/>
      <c r="R102" s="52"/>
      <c r="S102" s="52"/>
      <c r="T102" s="52"/>
      <c r="U102" s="52"/>
      <c r="V102" s="52"/>
      <c r="W102" s="52"/>
      <c r="X102" s="52"/>
      <c r="Y102" s="52">
        <f t="shared" si="55"/>
        <v>0</v>
      </c>
      <c r="Z102" s="52">
        <f t="shared" si="56"/>
        <v>0</v>
      </c>
      <c r="AA102" s="52">
        <f t="shared" si="57"/>
        <v>0</v>
      </c>
      <c r="AB102" s="52" t="s">
        <v>192</v>
      </c>
      <c r="AC102" s="52" t="s">
        <v>249</v>
      </c>
      <c r="AD102" s="52"/>
      <c r="AE102" s="52">
        <f t="shared" si="58"/>
        <v>0</v>
      </c>
      <c r="AF102" s="52">
        <f t="shared" si="59"/>
        <v>0</v>
      </c>
      <c r="AG102" s="52">
        <f t="shared" si="60"/>
        <v>0</v>
      </c>
      <c r="AH102" s="52">
        <f t="shared" si="61"/>
        <v>0</v>
      </c>
      <c r="AI102" s="52">
        <f t="shared" si="62"/>
        <v>0</v>
      </c>
      <c r="AJ102" s="52">
        <f t="shared" si="63"/>
        <v>0</v>
      </c>
      <c r="AK102" s="52">
        <f t="shared" si="64"/>
        <v>0</v>
      </c>
      <c r="AL102" s="52">
        <f t="shared" si="65"/>
        <v>0</v>
      </c>
      <c r="AM102" s="52">
        <f t="shared" si="66"/>
        <v>0</v>
      </c>
      <c r="AN102" s="52">
        <f t="shared" si="67"/>
        <v>0</v>
      </c>
      <c r="AO102" s="52">
        <f t="shared" si="68"/>
        <v>0</v>
      </c>
      <c r="AP102" s="52">
        <f t="shared" si="69"/>
        <v>0</v>
      </c>
      <c r="AQ102" s="52">
        <f t="shared" si="70"/>
        <v>0</v>
      </c>
      <c r="AR102" s="52">
        <f t="shared" si="71"/>
        <v>0</v>
      </c>
      <c r="AS102" s="52">
        <f t="shared" si="72"/>
        <v>0</v>
      </c>
    </row>
    <row r="103" spans="1:45">
      <c r="A103" s="52">
        <v>37</v>
      </c>
      <c r="B103" s="52"/>
      <c r="C103" s="52"/>
      <c r="D103" s="54"/>
      <c r="E103" s="54"/>
      <c r="F103" s="54"/>
      <c r="G103" s="54"/>
      <c r="H103" s="52"/>
      <c r="I103" s="52"/>
      <c r="J103" s="52"/>
      <c r="K103" s="52"/>
      <c r="L103" s="52"/>
      <c r="M103" s="52"/>
      <c r="N103" s="52"/>
      <c r="O103" s="52"/>
      <c r="P103" s="52"/>
      <c r="Q103" s="52"/>
      <c r="R103" s="52"/>
      <c r="S103" s="52"/>
      <c r="T103" s="52"/>
      <c r="U103" s="52"/>
      <c r="V103" s="52"/>
      <c r="W103" s="52"/>
      <c r="X103" s="52"/>
      <c r="Y103" s="52">
        <f t="shared" si="55"/>
        <v>0</v>
      </c>
      <c r="Z103" s="52">
        <f t="shared" si="56"/>
        <v>0</v>
      </c>
      <c r="AA103" s="52">
        <f t="shared" si="57"/>
        <v>0</v>
      </c>
      <c r="AB103" s="52" t="s">
        <v>192</v>
      </c>
      <c r="AC103" s="52" t="s">
        <v>250</v>
      </c>
      <c r="AD103" s="52"/>
      <c r="AE103" s="52">
        <f t="shared" si="58"/>
        <v>0</v>
      </c>
      <c r="AF103" s="52">
        <f t="shared" si="59"/>
        <v>0</v>
      </c>
      <c r="AG103" s="52">
        <f t="shared" si="60"/>
        <v>0</v>
      </c>
      <c r="AH103" s="52">
        <f t="shared" si="61"/>
        <v>0</v>
      </c>
      <c r="AI103" s="52">
        <f t="shared" si="62"/>
        <v>0</v>
      </c>
      <c r="AJ103" s="52">
        <f t="shared" si="63"/>
        <v>0</v>
      </c>
      <c r="AK103" s="52">
        <f t="shared" si="64"/>
        <v>0</v>
      </c>
      <c r="AL103" s="52">
        <f t="shared" si="65"/>
        <v>0</v>
      </c>
      <c r="AM103" s="52">
        <f t="shared" si="66"/>
        <v>0</v>
      </c>
      <c r="AN103" s="52">
        <f t="shared" si="67"/>
        <v>0</v>
      </c>
      <c r="AO103" s="52">
        <f t="shared" si="68"/>
        <v>0</v>
      </c>
      <c r="AP103" s="52">
        <f t="shared" si="69"/>
        <v>0</v>
      </c>
      <c r="AQ103" s="52">
        <f t="shared" si="70"/>
        <v>0</v>
      </c>
      <c r="AR103" s="52">
        <f t="shared" si="71"/>
        <v>0</v>
      </c>
      <c r="AS103" s="52">
        <f t="shared" si="72"/>
        <v>0</v>
      </c>
    </row>
    <row r="104" spans="1:45">
      <c r="A104" s="52">
        <v>37</v>
      </c>
      <c r="B104" s="52"/>
      <c r="C104" s="52"/>
      <c r="D104" s="54"/>
      <c r="E104" s="54"/>
      <c r="F104" s="54"/>
      <c r="G104" s="54"/>
      <c r="H104" s="52"/>
      <c r="I104" s="52"/>
      <c r="J104" s="52"/>
      <c r="K104" s="52"/>
      <c r="L104" s="52"/>
      <c r="M104" s="52"/>
      <c r="N104" s="52"/>
      <c r="O104" s="52"/>
      <c r="P104" s="52"/>
      <c r="Q104" s="52"/>
      <c r="R104" s="52"/>
      <c r="S104" s="52"/>
      <c r="T104" s="52"/>
      <c r="U104" s="52"/>
      <c r="V104" s="52"/>
      <c r="W104" s="52"/>
      <c r="X104" s="52"/>
      <c r="Y104" s="52">
        <f t="shared" si="55"/>
        <v>0</v>
      </c>
      <c r="Z104" s="52">
        <f t="shared" si="56"/>
        <v>0</v>
      </c>
      <c r="AA104" s="52">
        <f t="shared" si="57"/>
        <v>0</v>
      </c>
      <c r="AB104" s="52" t="s">
        <v>192</v>
      </c>
      <c r="AC104" s="52" t="s">
        <v>251</v>
      </c>
      <c r="AD104" s="52"/>
      <c r="AE104" s="52">
        <f t="shared" si="58"/>
        <v>0</v>
      </c>
      <c r="AF104" s="52">
        <f t="shared" si="59"/>
        <v>0</v>
      </c>
      <c r="AG104" s="52">
        <f t="shared" si="60"/>
        <v>0</v>
      </c>
      <c r="AH104" s="52">
        <f t="shared" si="61"/>
        <v>0</v>
      </c>
      <c r="AI104" s="52">
        <f t="shared" si="62"/>
        <v>0</v>
      </c>
      <c r="AJ104" s="52">
        <f t="shared" si="63"/>
        <v>0</v>
      </c>
      <c r="AK104" s="52">
        <f t="shared" si="64"/>
        <v>0</v>
      </c>
      <c r="AL104" s="52">
        <f t="shared" si="65"/>
        <v>0</v>
      </c>
      <c r="AM104" s="52">
        <f t="shared" si="66"/>
        <v>0</v>
      </c>
      <c r="AN104" s="52">
        <f t="shared" si="67"/>
        <v>0</v>
      </c>
      <c r="AO104" s="52">
        <f t="shared" si="68"/>
        <v>0</v>
      </c>
      <c r="AP104" s="52">
        <f t="shared" si="69"/>
        <v>0</v>
      </c>
      <c r="AQ104" s="52">
        <f t="shared" si="70"/>
        <v>0</v>
      </c>
      <c r="AR104" s="52">
        <f t="shared" si="71"/>
        <v>0</v>
      </c>
      <c r="AS104" s="52">
        <f t="shared" si="72"/>
        <v>0</v>
      </c>
    </row>
    <row r="105" spans="1:45">
      <c r="A105" s="52">
        <v>37</v>
      </c>
      <c r="B105" s="52"/>
      <c r="C105" s="52"/>
      <c r="D105" s="54"/>
      <c r="E105" s="54"/>
      <c r="F105" s="54"/>
      <c r="G105" s="54"/>
      <c r="H105" s="52"/>
      <c r="I105" s="52"/>
      <c r="J105" s="52"/>
      <c r="K105" s="52"/>
      <c r="L105" s="52"/>
      <c r="M105" s="52"/>
      <c r="N105" s="52"/>
      <c r="O105" s="52"/>
      <c r="P105" s="52"/>
      <c r="Q105" s="52"/>
      <c r="R105" s="52"/>
      <c r="S105" s="52"/>
      <c r="T105" s="52"/>
      <c r="U105" s="52"/>
      <c r="V105" s="52"/>
      <c r="W105" s="52"/>
      <c r="X105" s="52"/>
      <c r="Y105" s="52">
        <f t="shared" si="55"/>
        <v>0</v>
      </c>
      <c r="Z105" s="52">
        <f t="shared" si="56"/>
        <v>0</v>
      </c>
      <c r="AA105" s="52">
        <f t="shared" si="57"/>
        <v>0</v>
      </c>
      <c r="AB105" s="52" t="s">
        <v>192</v>
      </c>
      <c r="AC105" s="52" t="s">
        <v>252</v>
      </c>
      <c r="AD105" s="52"/>
      <c r="AE105" s="52">
        <f t="shared" si="58"/>
        <v>0</v>
      </c>
      <c r="AF105" s="52">
        <f t="shared" si="59"/>
        <v>0</v>
      </c>
      <c r="AG105" s="52">
        <f t="shared" si="60"/>
        <v>0</v>
      </c>
      <c r="AH105" s="52">
        <f t="shared" si="61"/>
        <v>0</v>
      </c>
      <c r="AI105" s="52">
        <f t="shared" si="62"/>
        <v>0</v>
      </c>
      <c r="AJ105" s="52">
        <f t="shared" si="63"/>
        <v>0</v>
      </c>
      <c r="AK105" s="52">
        <f t="shared" si="64"/>
        <v>0</v>
      </c>
      <c r="AL105" s="52">
        <f t="shared" si="65"/>
        <v>0</v>
      </c>
      <c r="AM105" s="52">
        <f t="shared" si="66"/>
        <v>0</v>
      </c>
      <c r="AN105" s="52">
        <f t="shared" si="67"/>
        <v>0</v>
      </c>
      <c r="AO105" s="52">
        <f t="shared" si="68"/>
        <v>0</v>
      </c>
      <c r="AP105" s="52">
        <f t="shared" si="69"/>
        <v>0</v>
      </c>
      <c r="AQ105" s="52">
        <f t="shared" si="70"/>
        <v>0</v>
      </c>
      <c r="AR105" s="52">
        <f t="shared" si="71"/>
        <v>0</v>
      </c>
      <c r="AS105" s="52">
        <f t="shared" si="72"/>
        <v>0</v>
      </c>
    </row>
    <row r="106" spans="1:45">
      <c r="A106" s="52">
        <v>37</v>
      </c>
      <c r="B106" s="52"/>
      <c r="C106" s="52"/>
      <c r="D106" s="54"/>
      <c r="E106" s="54"/>
      <c r="F106" s="54"/>
      <c r="G106" s="54"/>
      <c r="H106" s="52"/>
      <c r="I106" s="52"/>
      <c r="J106" s="52"/>
      <c r="K106" s="52"/>
      <c r="L106" s="52"/>
      <c r="M106" s="52"/>
      <c r="N106" s="52"/>
      <c r="O106" s="52"/>
      <c r="P106" s="52"/>
      <c r="Q106" s="52"/>
      <c r="R106" s="52"/>
      <c r="S106" s="52"/>
      <c r="T106" s="52"/>
      <c r="U106" s="52"/>
      <c r="V106" s="52"/>
      <c r="W106" s="52"/>
      <c r="X106" s="52"/>
      <c r="Y106" s="52">
        <f t="shared" si="55"/>
        <v>0</v>
      </c>
      <c r="Z106" s="52">
        <f t="shared" si="56"/>
        <v>0</v>
      </c>
      <c r="AA106" s="52">
        <f t="shared" si="57"/>
        <v>0</v>
      </c>
      <c r="AB106" s="52" t="s">
        <v>192</v>
      </c>
      <c r="AC106" s="52" t="s">
        <v>253</v>
      </c>
      <c r="AD106" s="52"/>
      <c r="AE106" s="52">
        <f t="shared" si="58"/>
        <v>0</v>
      </c>
      <c r="AF106" s="52">
        <f t="shared" si="59"/>
        <v>0</v>
      </c>
      <c r="AG106" s="52">
        <f t="shared" si="60"/>
        <v>0</v>
      </c>
      <c r="AH106" s="52">
        <f t="shared" si="61"/>
        <v>0</v>
      </c>
      <c r="AI106" s="52">
        <f t="shared" si="62"/>
        <v>0</v>
      </c>
      <c r="AJ106" s="52">
        <f t="shared" si="63"/>
        <v>0</v>
      </c>
      <c r="AK106" s="52">
        <f t="shared" si="64"/>
        <v>0</v>
      </c>
      <c r="AL106" s="52">
        <f t="shared" si="65"/>
        <v>0</v>
      </c>
      <c r="AM106" s="52">
        <f t="shared" si="66"/>
        <v>0</v>
      </c>
      <c r="AN106" s="52">
        <f t="shared" si="67"/>
        <v>0</v>
      </c>
      <c r="AO106" s="52">
        <f t="shared" si="68"/>
        <v>0</v>
      </c>
      <c r="AP106" s="52">
        <f t="shared" si="69"/>
        <v>0</v>
      </c>
      <c r="AQ106" s="52">
        <f t="shared" si="70"/>
        <v>0</v>
      </c>
      <c r="AR106" s="52">
        <f t="shared" si="71"/>
        <v>0</v>
      </c>
      <c r="AS106" s="52">
        <f t="shared" si="72"/>
        <v>0</v>
      </c>
    </row>
    <row r="107" spans="1:45">
      <c r="A107" s="52">
        <v>37</v>
      </c>
      <c r="B107" s="52"/>
      <c r="C107" s="52"/>
      <c r="D107" s="54"/>
      <c r="E107" s="54"/>
      <c r="F107" s="54"/>
      <c r="G107" s="54"/>
      <c r="H107" s="52"/>
      <c r="I107" s="52"/>
      <c r="J107" s="52"/>
      <c r="K107" s="52"/>
      <c r="L107" s="52"/>
      <c r="M107" s="52"/>
      <c r="N107" s="52"/>
      <c r="O107" s="52"/>
      <c r="P107" s="52"/>
      <c r="Q107" s="52"/>
      <c r="R107" s="52"/>
      <c r="S107" s="52"/>
      <c r="T107" s="52"/>
      <c r="U107" s="52"/>
      <c r="V107" s="52"/>
      <c r="W107" s="52"/>
      <c r="X107" s="52"/>
      <c r="Y107" s="52">
        <f t="shared" si="55"/>
        <v>0</v>
      </c>
      <c r="Z107" s="52">
        <f t="shared" si="56"/>
        <v>0</v>
      </c>
      <c r="AA107" s="52">
        <f t="shared" si="57"/>
        <v>0</v>
      </c>
      <c r="AB107" s="52" t="s">
        <v>192</v>
      </c>
      <c r="AC107" s="52" t="s">
        <v>254</v>
      </c>
      <c r="AD107" s="52"/>
      <c r="AE107" s="52">
        <f t="shared" si="58"/>
        <v>0</v>
      </c>
      <c r="AF107" s="52">
        <f t="shared" si="59"/>
        <v>0</v>
      </c>
      <c r="AG107" s="52">
        <f t="shared" si="60"/>
        <v>0</v>
      </c>
      <c r="AH107" s="52">
        <f t="shared" si="61"/>
        <v>0</v>
      </c>
      <c r="AI107" s="52">
        <f t="shared" si="62"/>
        <v>0</v>
      </c>
      <c r="AJ107" s="52">
        <f t="shared" si="63"/>
        <v>0</v>
      </c>
      <c r="AK107" s="52">
        <f t="shared" si="64"/>
        <v>0</v>
      </c>
      <c r="AL107" s="52">
        <f t="shared" si="65"/>
        <v>0</v>
      </c>
      <c r="AM107" s="52">
        <f t="shared" si="66"/>
        <v>0</v>
      </c>
      <c r="AN107" s="52">
        <f t="shared" si="67"/>
        <v>0</v>
      </c>
      <c r="AO107" s="52">
        <f t="shared" si="68"/>
        <v>0</v>
      </c>
      <c r="AP107" s="52">
        <f t="shared" si="69"/>
        <v>0</v>
      </c>
      <c r="AQ107" s="52">
        <f t="shared" si="70"/>
        <v>0</v>
      </c>
      <c r="AR107" s="52">
        <f t="shared" si="71"/>
        <v>0</v>
      </c>
      <c r="AS107" s="52">
        <f t="shared" si="72"/>
        <v>0</v>
      </c>
    </row>
    <row r="108" spans="1:45">
      <c r="A108" s="52">
        <v>37</v>
      </c>
      <c r="B108" s="52"/>
      <c r="C108" s="52"/>
      <c r="D108" s="54"/>
      <c r="E108" s="54"/>
      <c r="F108" s="54"/>
      <c r="G108" s="54"/>
      <c r="H108" s="52"/>
      <c r="I108" s="52"/>
      <c r="J108" s="52"/>
      <c r="K108" s="52"/>
      <c r="L108" s="52"/>
      <c r="M108" s="52"/>
      <c r="N108" s="52"/>
      <c r="O108" s="52"/>
      <c r="P108" s="52"/>
      <c r="Q108" s="52"/>
      <c r="R108" s="52"/>
      <c r="S108" s="52"/>
      <c r="T108" s="52"/>
      <c r="U108" s="52"/>
      <c r="V108" s="52"/>
      <c r="W108" s="52"/>
      <c r="X108" s="52"/>
      <c r="Y108" s="52">
        <f t="shared" si="55"/>
        <v>0</v>
      </c>
      <c r="Z108" s="52">
        <f t="shared" si="56"/>
        <v>0</v>
      </c>
      <c r="AA108" s="52">
        <f t="shared" si="57"/>
        <v>0</v>
      </c>
      <c r="AB108" s="52" t="s">
        <v>192</v>
      </c>
      <c r="AC108" s="52" t="s">
        <v>255</v>
      </c>
      <c r="AD108" s="52"/>
      <c r="AE108" s="52">
        <f t="shared" si="58"/>
        <v>0</v>
      </c>
      <c r="AF108" s="52">
        <f t="shared" si="59"/>
        <v>0</v>
      </c>
      <c r="AG108" s="52">
        <f t="shared" si="60"/>
        <v>0</v>
      </c>
      <c r="AH108" s="52">
        <f t="shared" si="61"/>
        <v>0</v>
      </c>
      <c r="AI108" s="52">
        <f t="shared" si="62"/>
        <v>0</v>
      </c>
      <c r="AJ108" s="52">
        <f t="shared" si="63"/>
        <v>0</v>
      </c>
      <c r="AK108" s="52">
        <f t="shared" si="64"/>
        <v>0</v>
      </c>
      <c r="AL108" s="52">
        <f t="shared" si="65"/>
        <v>0</v>
      </c>
      <c r="AM108" s="52">
        <f t="shared" si="66"/>
        <v>0</v>
      </c>
      <c r="AN108" s="52">
        <f t="shared" si="67"/>
        <v>0</v>
      </c>
      <c r="AO108" s="52">
        <f t="shared" si="68"/>
        <v>0</v>
      </c>
      <c r="AP108" s="52">
        <f t="shared" si="69"/>
        <v>0</v>
      </c>
      <c r="AQ108" s="52">
        <f t="shared" si="70"/>
        <v>0</v>
      </c>
      <c r="AR108" s="52">
        <f t="shared" si="71"/>
        <v>0</v>
      </c>
      <c r="AS108" s="52">
        <f t="shared" si="72"/>
        <v>0</v>
      </c>
    </row>
    <row r="109" spans="1:45">
      <c r="A109" s="52">
        <v>37</v>
      </c>
      <c r="B109" s="52"/>
      <c r="C109" s="52"/>
      <c r="D109" s="54"/>
      <c r="E109" s="54"/>
      <c r="F109" s="54"/>
      <c r="G109" s="54"/>
      <c r="H109" s="52"/>
      <c r="I109" s="52"/>
      <c r="J109" s="52"/>
      <c r="K109" s="52"/>
      <c r="L109" s="52"/>
      <c r="M109" s="52"/>
      <c r="N109" s="52"/>
      <c r="O109" s="52"/>
      <c r="P109" s="52"/>
      <c r="Q109" s="52"/>
      <c r="R109" s="52"/>
      <c r="S109" s="52"/>
      <c r="T109" s="52"/>
      <c r="U109" s="52"/>
      <c r="V109" s="52"/>
      <c r="W109" s="52"/>
      <c r="X109" s="52"/>
      <c r="Y109" s="52">
        <f t="shared" si="55"/>
        <v>0</v>
      </c>
      <c r="Z109" s="52">
        <f t="shared" si="56"/>
        <v>0</v>
      </c>
      <c r="AA109" s="52">
        <f t="shared" si="57"/>
        <v>0</v>
      </c>
      <c r="AB109" s="52" t="s">
        <v>192</v>
      </c>
      <c r="AC109" s="52" t="s">
        <v>256</v>
      </c>
      <c r="AD109" s="52"/>
      <c r="AE109" s="52">
        <f t="shared" si="58"/>
        <v>0</v>
      </c>
      <c r="AF109" s="52">
        <f t="shared" si="59"/>
        <v>0</v>
      </c>
      <c r="AG109" s="52">
        <f t="shared" si="60"/>
        <v>0</v>
      </c>
      <c r="AH109" s="52">
        <f t="shared" si="61"/>
        <v>0</v>
      </c>
      <c r="AI109" s="52">
        <f t="shared" si="62"/>
        <v>0</v>
      </c>
      <c r="AJ109" s="52">
        <f t="shared" si="63"/>
        <v>0</v>
      </c>
      <c r="AK109" s="52">
        <f t="shared" si="64"/>
        <v>0</v>
      </c>
      <c r="AL109" s="52">
        <f t="shared" si="65"/>
        <v>0</v>
      </c>
      <c r="AM109" s="52">
        <f t="shared" si="66"/>
        <v>0</v>
      </c>
      <c r="AN109" s="52">
        <f t="shared" si="67"/>
        <v>0</v>
      </c>
      <c r="AO109" s="52">
        <f t="shared" si="68"/>
        <v>0</v>
      </c>
      <c r="AP109" s="52">
        <f t="shared" si="69"/>
        <v>0</v>
      </c>
      <c r="AQ109" s="52">
        <f t="shared" si="70"/>
        <v>0</v>
      </c>
      <c r="AR109" s="52">
        <f t="shared" si="71"/>
        <v>0</v>
      </c>
      <c r="AS109" s="52">
        <f t="shared" si="72"/>
        <v>0</v>
      </c>
    </row>
    <row r="110" spans="1:45">
      <c r="A110" s="52">
        <v>37</v>
      </c>
      <c r="B110" s="52"/>
      <c r="C110" s="52"/>
      <c r="D110" s="54"/>
      <c r="E110" s="54"/>
      <c r="F110" s="54"/>
      <c r="G110" s="54"/>
      <c r="H110" s="52"/>
      <c r="I110" s="52"/>
      <c r="J110" s="52"/>
      <c r="K110" s="52"/>
      <c r="L110" s="52"/>
      <c r="M110" s="52"/>
      <c r="N110" s="52"/>
      <c r="O110" s="52"/>
      <c r="P110" s="52"/>
      <c r="Q110" s="52"/>
      <c r="R110" s="52"/>
      <c r="S110" s="52"/>
      <c r="T110" s="52"/>
      <c r="U110" s="52"/>
      <c r="V110" s="52"/>
      <c r="W110" s="52"/>
      <c r="X110" s="52"/>
      <c r="Y110" s="52">
        <f t="shared" si="55"/>
        <v>0</v>
      </c>
      <c r="Z110" s="52">
        <f t="shared" si="56"/>
        <v>0</v>
      </c>
      <c r="AA110" s="52">
        <f t="shared" si="57"/>
        <v>0</v>
      </c>
      <c r="AB110" s="52" t="s">
        <v>192</v>
      </c>
      <c r="AC110" s="52" t="s">
        <v>257</v>
      </c>
      <c r="AD110" s="52"/>
      <c r="AE110" s="52">
        <f t="shared" si="58"/>
        <v>0</v>
      </c>
      <c r="AF110" s="52">
        <f t="shared" si="59"/>
        <v>0</v>
      </c>
      <c r="AG110" s="52">
        <f t="shared" si="60"/>
        <v>0</v>
      </c>
      <c r="AH110" s="52">
        <f t="shared" si="61"/>
        <v>0</v>
      </c>
      <c r="AI110" s="52">
        <f t="shared" si="62"/>
        <v>0</v>
      </c>
      <c r="AJ110" s="52">
        <f t="shared" si="63"/>
        <v>0</v>
      </c>
      <c r="AK110" s="52">
        <f t="shared" si="64"/>
        <v>0</v>
      </c>
      <c r="AL110" s="52">
        <f t="shared" si="65"/>
        <v>0</v>
      </c>
      <c r="AM110" s="52">
        <f t="shared" si="66"/>
        <v>0</v>
      </c>
      <c r="AN110" s="52">
        <f t="shared" si="67"/>
        <v>0</v>
      </c>
      <c r="AO110" s="52">
        <f t="shared" si="68"/>
        <v>0</v>
      </c>
      <c r="AP110" s="52">
        <f t="shared" si="69"/>
        <v>0</v>
      </c>
      <c r="AQ110" s="52">
        <f t="shared" si="70"/>
        <v>0</v>
      </c>
      <c r="AR110" s="52">
        <f t="shared" si="71"/>
        <v>0</v>
      </c>
      <c r="AS110" s="52">
        <f t="shared" si="72"/>
        <v>0</v>
      </c>
    </row>
    <row r="111" spans="1:45">
      <c r="A111" s="52" t="s">
        <v>29</v>
      </c>
      <c r="B111" s="52"/>
      <c r="C111" s="52"/>
      <c r="D111" s="54"/>
      <c r="E111" s="54"/>
      <c r="F111" s="54"/>
      <c r="G111" s="54"/>
      <c r="H111" s="52"/>
      <c r="I111" s="52"/>
      <c r="J111" s="52"/>
      <c r="K111" s="52"/>
      <c r="L111" s="52"/>
      <c r="M111" s="52"/>
      <c r="N111" s="52"/>
      <c r="O111" s="52"/>
      <c r="P111" s="52"/>
      <c r="Q111" s="52"/>
      <c r="R111" s="52"/>
      <c r="S111" s="52"/>
      <c r="T111" s="52"/>
      <c r="U111" s="52"/>
      <c r="V111" s="52"/>
      <c r="W111" s="52"/>
      <c r="X111" s="52"/>
      <c r="Y111" s="52">
        <f>SUM(Y61:Y110)</f>
        <v>25</v>
      </c>
      <c r="Z111" s="52">
        <f>SUM(Z61:Z110)</f>
        <v>34</v>
      </c>
      <c r="AA111" s="52">
        <f>SUM(AA61:AA110)</f>
        <v>349000</v>
      </c>
      <c r="AB111" s="52"/>
      <c r="AC111" s="52"/>
      <c r="AD111" s="52"/>
      <c r="AE111" s="52">
        <f t="shared" ref="AE111:AS111" si="73">SUM(AE61:AE110)</f>
        <v>15</v>
      </c>
      <c r="AF111" s="52">
        <f t="shared" si="73"/>
        <v>10</v>
      </c>
      <c r="AG111" s="52">
        <f t="shared" si="73"/>
        <v>25</v>
      </c>
      <c r="AH111" s="52">
        <f t="shared" si="73"/>
        <v>7</v>
      </c>
      <c r="AI111" s="52">
        <f t="shared" si="73"/>
        <v>5</v>
      </c>
      <c r="AJ111" s="52">
        <f t="shared" si="73"/>
        <v>12</v>
      </c>
      <c r="AK111" s="52">
        <f t="shared" si="73"/>
        <v>6</v>
      </c>
      <c r="AL111" s="52">
        <f t="shared" si="73"/>
        <v>5</v>
      </c>
      <c r="AM111" s="52">
        <f t="shared" si="73"/>
        <v>11</v>
      </c>
      <c r="AN111" s="52">
        <f t="shared" si="73"/>
        <v>19</v>
      </c>
      <c r="AO111" s="52">
        <f t="shared" si="73"/>
        <v>15</v>
      </c>
      <c r="AP111" s="52">
        <f t="shared" si="73"/>
        <v>34</v>
      </c>
      <c r="AQ111" s="52">
        <f t="shared" si="73"/>
        <v>262000</v>
      </c>
      <c r="AR111" s="52">
        <f t="shared" si="73"/>
        <v>87000</v>
      </c>
      <c r="AS111" s="52">
        <f t="shared" si="73"/>
        <v>349000</v>
      </c>
    </row>
    <row r="113" spans="1:45">
      <c r="A113" s="53" t="s">
        <v>0</v>
      </c>
      <c r="B113" s="53" t="s">
        <v>1</v>
      </c>
      <c r="C113" s="53" t="s">
        <v>2</v>
      </c>
      <c r="D113" s="55" t="s">
        <v>3</v>
      </c>
      <c r="E113" s="55" t="s">
        <v>4</v>
      </c>
      <c r="F113" s="55" t="s">
        <v>5</v>
      </c>
      <c r="G113" s="55" t="s">
        <v>6</v>
      </c>
      <c r="H113" s="53" t="s">
        <v>7</v>
      </c>
      <c r="I113" s="53" t="s">
        <v>8</v>
      </c>
      <c r="J113" s="53" t="s">
        <v>9</v>
      </c>
      <c r="K113" s="53" t="s">
        <v>10</v>
      </c>
      <c r="L113" s="53" t="s">
        <v>11</v>
      </c>
      <c r="M113" s="53" t="s">
        <v>12</v>
      </c>
      <c r="N113" s="53" t="s">
        <v>13</v>
      </c>
      <c r="O113" s="53" t="s">
        <v>14</v>
      </c>
      <c r="P113" s="53" t="s">
        <v>15</v>
      </c>
      <c r="Q113" s="53" t="s">
        <v>16</v>
      </c>
      <c r="R113" s="53" t="s">
        <v>17</v>
      </c>
      <c r="S113" s="53" t="s">
        <v>18</v>
      </c>
      <c r="T113" s="53" t="s">
        <v>19</v>
      </c>
      <c r="U113" s="53" t="s">
        <v>20</v>
      </c>
      <c r="V113" s="53" t="s">
        <v>21</v>
      </c>
      <c r="W113" s="53" t="s">
        <v>22</v>
      </c>
      <c r="X113" s="53" t="s">
        <v>23</v>
      </c>
      <c r="Y113" s="53" t="s">
        <v>24</v>
      </c>
      <c r="Z113" s="53" t="s">
        <v>25</v>
      </c>
      <c r="AA113" s="53" t="s">
        <v>26</v>
      </c>
      <c r="AB113" s="53" t="s">
        <v>27</v>
      </c>
      <c r="AC113" s="53" t="s">
        <v>28</v>
      </c>
      <c r="AD113" s="53" t="s">
        <v>89</v>
      </c>
      <c r="AE113" s="53" t="s">
        <v>90</v>
      </c>
      <c r="AF113" s="53" t="s">
        <v>91</v>
      </c>
      <c r="AG113" s="53" t="s">
        <v>92</v>
      </c>
      <c r="AH113" s="53" t="s">
        <v>93</v>
      </c>
      <c r="AI113" s="53" t="s">
        <v>94</v>
      </c>
      <c r="AJ113" s="53" t="s">
        <v>95</v>
      </c>
      <c r="AK113" s="53" t="s">
        <v>96</v>
      </c>
      <c r="AL113" s="53" t="s">
        <v>97</v>
      </c>
      <c r="AM113" s="53" t="s">
        <v>98</v>
      </c>
      <c r="AN113" s="53" t="s">
        <v>70</v>
      </c>
      <c r="AO113" s="53" t="s">
        <v>71</v>
      </c>
      <c r="AP113" s="53" t="s">
        <v>48</v>
      </c>
      <c r="AQ113" s="53" t="s">
        <v>79</v>
      </c>
      <c r="AR113" s="53" t="s">
        <v>80</v>
      </c>
      <c r="AS113" s="53" t="s">
        <v>78</v>
      </c>
    </row>
    <row r="114" spans="1:45">
      <c r="A114" s="53">
        <v>38</v>
      </c>
      <c r="B114" s="53" t="s">
        <v>100</v>
      </c>
      <c r="C114" s="53" t="s">
        <v>258</v>
      </c>
      <c r="D114" s="55">
        <v>46281</v>
      </c>
      <c r="E114" s="55">
        <v>46283</v>
      </c>
      <c r="F114" s="55">
        <v>46280</v>
      </c>
      <c r="G114" s="55">
        <v>46289</v>
      </c>
      <c r="H114" s="53" t="s">
        <v>102</v>
      </c>
      <c r="I114" s="53" t="s">
        <v>259</v>
      </c>
      <c r="J114" s="53" t="s">
        <v>104</v>
      </c>
      <c r="K114" s="53" t="s">
        <v>105</v>
      </c>
      <c r="L114" s="53" t="s">
        <v>106</v>
      </c>
      <c r="M114" s="53">
        <v>3</v>
      </c>
      <c r="N114" s="53">
        <v>4</v>
      </c>
      <c r="O114" s="53" t="s">
        <v>118</v>
      </c>
      <c r="P114" s="53">
        <v>62000</v>
      </c>
      <c r="Q114" s="53" t="s">
        <v>108</v>
      </c>
      <c r="R114" s="53" t="s">
        <v>109</v>
      </c>
      <c r="S114" s="53" t="s">
        <v>110</v>
      </c>
      <c r="T114" s="53" t="s">
        <v>111</v>
      </c>
      <c r="U114" s="53" t="s">
        <v>112</v>
      </c>
      <c r="V114" s="53" t="s">
        <v>113</v>
      </c>
      <c r="W114" s="53" t="s">
        <v>114</v>
      </c>
      <c r="X114" s="53"/>
      <c r="Y114" s="53">
        <f t="shared" ref="Y114:Y145" si="74">IF(UPPER(TRIM($W114&amp;""))="CANCELLED",0,IFERROR(0+$M114,0))</f>
        <v>3</v>
      </c>
      <c r="Z114" s="53">
        <f t="shared" ref="Z114:Z145" si="75">IF(UPPER(TRIM($W114&amp;""))="CANCELLED",0,IFERROR((IFERROR(0+$M114,0))*IF(IFERROR(0+TRIM($N114&amp;""),0)=4,2,IF(IFERROR(0+TRIM($N114&amp;""),0)=2,1,0)),0))</f>
        <v>6</v>
      </c>
      <c r="AA114" s="53">
        <f t="shared" ref="AA114:AA145" si="76">IF(UPPER(TRIM($W114&amp;""))="CANCELLED",0,IFERROR(0+$P114,0))</f>
        <v>62000</v>
      </c>
      <c r="AB114" s="53" t="s">
        <v>260</v>
      </c>
      <c r="AC114" s="53" t="s">
        <v>261</v>
      </c>
      <c r="AD114" s="53" t="s">
        <v>126</v>
      </c>
      <c r="AE114" s="53">
        <f t="shared" ref="AE114:AE145" si="77">IF(UPPER(TRIM($W114&amp;""))="CANCELLED",0,IF(UPPER(TRIM($AD114&amp;""))="EMPTY",0,IFERROR(0+$M114,0)))</f>
        <v>3</v>
      </c>
      <c r="AF114" s="53">
        <f t="shared" ref="AF114:AF145" si="78">IF(UPPER(TRIM($W114&amp;""))="CANCELLED",0,IF(UPPER(TRIM($AD114&amp;""))="EMPTY",IFERROR(0+$M114,0),0))</f>
        <v>0</v>
      </c>
      <c r="AG114" s="53">
        <f t="shared" ref="AG114:AG145" si="79">AE114+AF114</f>
        <v>3</v>
      </c>
      <c r="AH114" s="53">
        <f t="shared" ref="AH114:AH145" si="80">IF(UPPER(TRIM($W114&amp;""))="CANCELLED",0,IF(AND(NOT(UPPER(TRIM($AD114&amp;""))="EMPTY"),IFERROR(0+TRIM($N114&amp;""),0)=2),IFERROR(0+$M114,0),0))</f>
        <v>0</v>
      </c>
      <c r="AI114" s="53">
        <f t="shared" ref="AI114:AI145" si="81">IF(UPPER(TRIM($W114&amp;""))="CANCELLED",0,IF(AND(UPPER(TRIM($AD114&amp;""))="EMPTY",IFERROR(0+TRIM($N114&amp;""),0)=2),IFERROR(0+$M114,0),0))</f>
        <v>0</v>
      </c>
      <c r="AJ114" s="53">
        <f t="shared" ref="AJ114:AJ145" si="82">AH114+AI114</f>
        <v>0</v>
      </c>
      <c r="AK114" s="53">
        <f t="shared" ref="AK114:AK145" si="83">IF(UPPER(TRIM($W114&amp;""))="CANCELLED",0,IF(AND(NOT(UPPER(TRIM($AD114&amp;""))="EMPTY"),IFERROR(0+TRIM($N114&amp;""),0)=4),IFERROR(0+$M114,0),0))</f>
        <v>3</v>
      </c>
      <c r="AL114" s="53">
        <f t="shared" ref="AL114:AL145" si="84">IF(UPPER(TRIM($W114&amp;""))="CANCELLED",0,IF(AND(UPPER(TRIM($AD114&amp;""))="EMPTY",IFERROR(0+TRIM($N114&amp;""),0)=4),IFERROR(0+$M114,0),0))</f>
        <v>0</v>
      </c>
      <c r="AM114" s="53">
        <f t="shared" ref="AM114:AM145" si="85">AK114+AL114</f>
        <v>3</v>
      </c>
      <c r="AN114" s="53">
        <f t="shared" ref="AN114:AN145" si="86">IF(UPPER(TRIM($W114&amp;""))="CANCELLED",0,IF(UPPER(TRIM($AD114&amp;""))="EMPTY",0,IFERROR((IFERROR(0+$M114,0))*IF(IFERROR(0+TRIM($N114&amp;""),0)=4,2,IF(IFERROR(0+TRIM($N114&amp;""),0)=2,1,0)),0)))</f>
        <v>6</v>
      </c>
      <c r="AO114" s="53">
        <f t="shared" ref="AO114:AO145" si="87">IF(UPPER(TRIM($W114&amp;""))="CANCELLED",0,IF(UPPER(TRIM($AD114&amp;""))="EMPTY",IFERROR((IFERROR(0+$M114,0))*IF(IFERROR(0+TRIM($N114&amp;""),0)=4,2,IF(IFERROR(0+TRIM($N114&amp;""),0)=2,1,0)),0),0))</f>
        <v>0</v>
      </c>
      <c r="AP114" s="53">
        <f t="shared" ref="AP114:AP145" si="88">AN114+AO114</f>
        <v>6</v>
      </c>
      <c r="AQ114" s="53">
        <f t="shared" ref="AQ114:AQ145" si="89">IF(UPPER(TRIM($W114&amp;""))="CANCELLED",0,IF(UPPER(TRIM($AD114&amp;""))="EMPTY",0,IFERROR(0+$P114,0)))</f>
        <v>62000</v>
      </c>
      <c r="AR114" s="53">
        <f t="shared" ref="AR114:AR145" si="90">IF(UPPER(TRIM($W114&amp;""))="CANCELLED",0,IF(UPPER(TRIM($AD114&amp;""))="EMPTY",IFERROR(0+$P114,0),0))</f>
        <v>0</v>
      </c>
      <c r="AS114" s="53">
        <f t="shared" ref="AS114:AS145" si="91">AQ114+AR114</f>
        <v>62000</v>
      </c>
    </row>
    <row r="115" spans="1:45">
      <c r="A115" s="53">
        <v>38</v>
      </c>
      <c r="B115" s="53" t="s">
        <v>100</v>
      </c>
      <c r="C115" s="53" t="s">
        <v>258</v>
      </c>
      <c r="D115" s="55">
        <v>46281</v>
      </c>
      <c r="E115" s="55">
        <v>46283</v>
      </c>
      <c r="F115" s="55">
        <v>46280</v>
      </c>
      <c r="G115" s="55">
        <v>46289</v>
      </c>
      <c r="H115" s="53" t="s">
        <v>102</v>
      </c>
      <c r="I115" s="53" t="s">
        <v>262</v>
      </c>
      <c r="J115" s="53" t="s">
        <v>104</v>
      </c>
      <c r="K115" s="53" t="s">
        <v>105</v>
      </c>
      <c r="L115" s="53" t="s">
        <v>106</v>
      </c>
      <c r="M115" s="53">
        <v>1</v>
      </c>
      <c r="N115" s="53">
        <v>2</v>
      </c>
      <c r="O115" s="53" t="s">
        <v>107</v>
      </c>
      <c r="P115" s="53">
        <v>4000</v>
      </c>
      <c r="Q115" s="53" t="s">
        <v>108</v>
      </c>
      <c r="R115" s="53" t="s">
        <v>109</v>
      </c>
      <c r="S115" s="53" t="s">
        <v>110</v>
      </c>
      <c r="T115" s="53" t="s">
        <v>111</v>
      </c>
      <c r="U115" s="53" t="s">
        <v>119</v>
      </c>
      <c r="V115" s="53" t="s">
        <v>113</v>
      </c>
      <c r="W115" s="53" t="s">
        <v>114</v>
      </c>
      <c r="X115" s="53"/>
      <c r="Y115" s="53">
        <f t="shared" si="74"/>
        <v>1</v>
      </c>
      <c r="Z115" s="53">
        <f t="shared" si="75"/>
        <v>1</v>
      </c>
      <c r="AA115" s="53">
        <f t="shared" si="76"/>
        <v>4000</v>
      </c>
      <c r="AB115" s="53" t="s">
        <v>260</v>
      </c>
      <c r="AC115" s="53" t="s">
        <v>263</v>
      </c>
      <c r="AD115" s="53" t="s">
        <v>121</v>
      </c>
      <c r="AE115" s="53">
        <f t="shared" si="77"/>
        <v>0</v>
      </c>
      <c r="AF115" s="53">
        <f t="shared" si="78"/>
        <v>1</v>
      </c>
      <c r="AG115" s="53">
        <f t="shared" si="79"/>
        <v>1</v>
      </c>
      <c r="AH115" s="53">
        <f t="shared" si="80"/>
        <v>0</v>
      </c>
      <c r="AI115" s="53">
        <f t="shared" si="81"/>
        <v>1</v>
      </c>
      <c r="AJ115" s="53">
        <f t="shared" si="82"/>
        <v>1</v>
      </c>
      <c r="AK115" s="53">
        <f t="shared" si="83"/>
        <v>0</v>
      </c>
      <c r="AL115" s="53">
        <f t="shared" si="84"/>
        <v>0</v>
      </c>
      <c r="AM115" s="53">
        <f t="shared" si="85"/>
        <v>0</v>
      </c>
      <c r="AN115" s="53">
        <f t="shared" si="86"/>
        <v>0</v>
      </c>
      <c r="AO115" s="53">
        <f t="shared" si="87"/>
        <v>1</v>
      </c>
      <c r="AP115" s="53">
        <f t="shared" si="88"/>
        <v>1</v>
      </c>
      <c r="AQ115" s="53">
        <f t="shared" si="89"/>
        <v>0</v>
      </c>
      <c r="AR115" s="53">
        <f t="shared" si="90"/>
        <v>4000</v>
      </c>
      <c r="AS115" s="53">
        <f t="shared" si="91"/>
        <v>4000</v>
      </c>
    </row>
    <row r="116" spans="1:45">
      <c r="A116" s="53">
        <v>38</v>
      </c>
      <c r="B116" s="53" t="s">
        <v>127</v>
      </c>
      <c r="C116" s="53" t="s">
        <v>264</v>
      </c>
      <c r="D116" s="55">
        <v>46282</v>
      </c>
      <c r="E116" s="55">
        <v>46284</v>
      </c>
      <c r="F116" s="55">
        <v>46281</v>
      </c>
      <c r="G116" s="55">
        <v>46290</v>
      </c>
      <c r="H116" s="53" t="s">
        <v>102</v>
      </c>
      <c r="I116" s="53" t="s">
        <v>265</v>
      </c>
      <c r="J116" s="53" t="s">
        <v>104</v>
      </c>
      <c r="K116" s="53" t="s">
        <v>130</v>
      </c>
      <c r="L116" s="53" t="s">
        <v>106</v>
      </c>
      <c r="M116" s="53">
        <v>6</v>
      </c>
      <c r="N116" s="53">
        <v>2</v>
      </c>
      <c r="O116" s="53" t="s">
        <v>107</v>
      </c>
      <c r="P116" s="53">
        <v>108000</v>
      </c>
      <c r="Q116" s="53" t="s">
        <v>131</v>
      </c>
      <c r="R116" s="53" t="s">
        <v>109</v>
      </c>
      <c r="S116" s="53" t="s">
        <v>132</v>
      </c>
      <c r="T116" s="53" t="s">
        <v>133</v>
      </c>
      <c r="U116" s="53" t="s">
        <v>134</v>
      </c>
      <c r="V116" s="53" t="s">
        <v>113</v>
      </c>
      <c r="W116" s="53" t="s">
        <v>114</v>
      </c>
      <c r="X116" s="53"/>
      <c r="Y116" s="53">
        <f t="shared" si="74"/>
        <v>6</v>
      </c>
      <c r="Z116" s="53">
        <f t="shared" si="75"/>
        <v>6</v>
      </c>
      <c r="AA116" s="53">
        <f t="shared" si="76"/>
        <v>108000</v>
      </c>
      <c r="AB116" s="53" t="s">
        <v>260</v>
      </c>
      <c r="AC116" s="53" t="s">
        <v>266</v>
      </c>
      <c r="AD116" s="53" t="s">
        <v>126</v>
      </c>
      <c r="AE116" s="53">
        <f t="shared" si="77"/>
        <v>6</v>
      </c>
      <c r="AF116" s="53">
        <f t="shared" si="78"/>
        <v>0</v>
      </c>
      <c r="AG116" s="53">
        <f t="shared" si="79"/>
        <v>6</v>
      </c>
      <c r="AH116" s="53">
        <f t="shared" si="80"/>
        <v>6</v>
      </c>
      <c r="AI116" s="53">
        <f t="shared" si="81"/>
        <v>0</v>
      </c>
      <c r="AJ116" s="53">
        <f t="shared" si="82"/>
        <v>6</v>
      </c>
      <c r="AK116" s="53">
        <f t="shared" si="83"/>
        <v>0</v>
      </c>
      <c r="AL116" s="53">
        <f t="shared" si="84"/>
        <v>0</v>
      </c>
      <c r="AM116" s="53">
        <f t="shared" si="85"/>
        <v>0</v>
      </c>
      <c r="AN116" s="53">
        <f t="shared" si="86"/>
        <v>6</v>
      </c>
      <c r="AO116" s="53">
        <f t="shared" si="87"/>
        <v>0</v>
      </c>
      <c r="AP116" s="53">
        <f t="shared" si="88"/>
        <v>6</v>
      </c>
      <c r="AQ116" s="53">
        <f t="shared" si="89"/>
        <v>108000</v>
      </c>
      <c r="AR116" s="53">
        <f t="shared" si="90"/>
        <v>0</v>
      </c>
      <c r="AS116" s="53">
        <f t="shared" si="91"/>
        <v>108000</v>
      </c>
    </row>
    <row r="117" spans="1:45">
      <c r="A117" s="53">
        <v>38</v>
      </c>
      <c r="B117" s="53" t="s">
        <v>141</v>
      </c>
      <c r="C117" s="53" t="s">
        <v>267</v>
      </c>
      <c r="D117" s="55">
        <v>46284</v>
      </c>
      <c r="E117" s="55">
        <v>46285</v>
      </c>
      <c r="F117" s="55">
        <v>46283</v>
      </c>
      <c r="G117" s="55"/>
      <c r="H117" s="53" t="s">
        <v>102</v>
      </c>
      <c r="I117" s="53" t="s">
        <v>268</v>
      </c>
      <c r="J117" s="53" t="s">
        <v>104</v>
      </c>
      <c r="K117" s="53" t="s">
        <v>144</v>
      </c>
      <c r="L117" s="53" t="s">
        <v>106</v>
      </c>
      <c r="M117" s="53">
        <v>2</v>
      </c>
      <c r="N117" s="53">
        <v>4</v>
      </c>
      <c r="O117" s="53" t="s">
        <v>118</v>
      </c>
      <c r="P117" s="53">
        <v>15000</v>
      </c>
      <c r="Q117" s="53" t="s">
        <v>111</v>
      </c>
      <c r="R117" s="53" t="s">
        <v>109</v>
      </c>
      <c r="S117" s="53" t="s">
        <v>145</v>
      </c>
      <c r="T117" s="53" t="s">
        <v>108</v>
      </c>
      <c r="U117" s="53" t="s">
        <v>124</v>
      </c>
      <c r="V117" s="53" t="s">
        <v>113</v>
      </c>
      <c r="W117" s="53" t="s">
        <v>114</v>
      </c>
      <c r="X117" s="53"/>
      <c r="Y117" s="53">
        <f t="shared" si="74"/>
        <v>2</v>
      </c>
      <c r="Z117" s="53">
        <f t="shared" si="75"/>
        <v>4</v>
      </c>
      <c r="AA117" s="53">
        <f t="shared" si="76"/>
        <v>15000</v>
      </c>
      <c r="AB117" s="53" t="s">
        <v>260</v>
      </c>
      <c r="AC117" s="53" t="s">
        <v>269</v>
      </c>
      <c r="AD117" s="53" t="s">
        <v>121</v>
      </c>
      <c r="AE117" s="53">
        <f t="shared" si="77"/>
        <v>0</v>
      </c>
      <c r="AF117" s="53">
        <f t="shared" si="78"/>
        <v>2</v>
      </c>
      <c r="AG117" s="53">
        <f t="shared" si="79"/>
        <v>2</v>
      </c>
      <c r="AH117" s="53">
        <f t="shared" si="80"/>
        <v>0</v>
      </c>
      <c r="AI117" s="53">
        <f t="shared" si="81"/>
        <v>0</v>
      </c>
      <c r="AJ117" s="53">
        <f t="shared" si="82"/>
        <v>0</v>
      </c>
      <c r="AK117" s="53">
        <f t="shared" si="83"/>
        <v>0</v>
      </c>
      <c r="AL117" s="53">
        <f t="shared" si="84"/>
        <v>2</v>
      </c>
      <c r="AM117" s="53">
        <f t="shared" si="85"/>
        <v>2</v>
      </c>
      <c r="AN117" s="53">
        <f t="shared" si="86"/>
        <v>0</v>
      </c>
      <c r="AO117" s="53">
        <f t="shared" si="87"/>
        <v>4</v>
      </c>
      <c r="AP117" s="53">
        <f t="shared" si="88"/>
        <v>4</v>
      </c>
      <c r="AQ117" s="53">
        <f t="shared" si="89"/>
        <v>0</v>
      </c>
      <c r="AR117" s="53">
        <f t="shared" si="90"/>
        <v>15000</v>
      </c>
      <c r="AS117" s="53">
        <f t="shared" si="91"/>
        <v>15000</v>
      </c>
    </row>
    <row r="118" spans="1:45">
      <c r="A118" s="53">
        <v>38</v>
      </c>
      <c r="B118" s="53" t="s">
        <v>141</v>
      </c>
      <c r="C118" s="53" t="s">
        <v>267</v>
      </c>
      <c r="D118" s="55">
        <v>46284</v>
      </c>
      <c r="E118" s="55">
        <v>46285</v>
      </c>
      <c r="F118" s="55">
        <v>46283</v>
      </c>
      <c r="G118" s="55"/>
      <c r="H118" s="53" t="s">
        <v>102</v>
      </c>
      <c r="I118" s="53" t="s">
        <v>270</v>
      </c>
      <c r="J118" s="53" t="s">
        <v>104</v>
      </c>
      <c r="K118" s="53" t="s">
        <v>144</v>
      </c>
      <c r="L118" s="53" t="s">
        <v>106</v>
      </c>
      <c r="M118" s="53">
        <v>2</v>
      </c>
      <c r="N118" s="53">
        <v>2</v>
      </c>
      <c r="O118" s="53" t="s">
        <v>123</v>
      </c>
      <c r="P118" s="53">
        <v>34000</v>
      </c>
      <c r="Q118" s="53" t="s">
        <v>111</v>
      </c>
      <c r="R118" s="53" t="s">
        <v>109</v>
      </c>
      <c r="S118" s="53" t="s">
        <v>145</v>
      </c>
      <c r="T118" s="53" t="s">
        <v>108</v>
      </c>
      <c r="U118" s="53" t="s">
        <v>112</v>
      </c>
      <c r="V118" s="53" t="s">
        <v>113</v>
      </c>
      <c r="W118" s="53" t="s">
        <v>114</v>
      </c>
      <c r="X118" s="53"/>
      <c r="Y118" s="53">
        <f t="shared" si="74"/>
        <v>2</v>
      </c>
      <c r="Z118" s="53">
        <f t="shared" si="75"/>
        <v>2</v>
      </c>
      <c r="AA118" s="53">
        <f t="shared" si="76"/>
        <v>34000</v>
      </c>
      <c r="AB118" s="53" t="s">
        <v>260</v>
      </c>
      <c r="AC118" s="53" t="s">
        <v>271</v>
      </c>
      <c r="AD118" s="53" t="s">
        <v>126</v>
      </c>
      <c r="AE118" s="53">
        <f t="shared" si="77"/>
        <v>2</v>
      </c>
      <c r="AF118" s="53">
        <f t="shared" si="78"/>
        <v>0</v>
      </c>
      <c r="AG118" s="53">
        <f t="shared" si="79"/>
        <v>2</v>
      </c>
      <c r="AH118" s="53">
        <f t="shared" si="80"/>
        <v>2</v>
      </c>
      <c r="AI118" s="53">
        <f t="shared" si="81"/>
        <v>0</v>
      </c>
      <c r="AJ118" s="53">
        <f t="shared" si="82"/>
        <v>2</v>
      </c>
      <c r="AK118" s="53">
        <f t="shared" si="83"/>
        <v>0</v>
      </c>
      <c r="AL118" s="53">
        <f t="shared" si="84"/>
        <v>0</v>
      </c>
      <c r="AM118" s="53">
        <f t="shared" si="85"/>
        <v>0</v>
      </c>
      <c r="AN118" s="53">
        <f t="shared" si="86"/>
        <v>2</v>
      </c>
      <c r="AO118" s="53">
        <f t="shared" si="87"/>
        <v>0</v>
      </c>
      <c r="AP118" s="53">
        <f t="shared" si="88"/>
        <v>2</v>
      </c>
      <c r="AQ118" s="53">
        <f t="shared" si="89"/>
        <v>34000</v>
      </c>
      <c r="AR118" s="53">
        <f t="shared" si="90"/>
        <v>0</v>
      </c>
      <c r="AS118" s="53">
        <f t="shared" si="91"/>
        <v>34000</v>
      </c>
    </row>
    <row r="119" spans="1:45">
      <c r="A119" s="53">
        <v>38</v>
      </c>
      <c r="B119" s="53" t="s">
        <v>100</v>
      </c>
      <c r="C119" s="53" t="s">
        <v>258</v>
      </c>
      <c r="D119" s="55">
        <v>46281</v>
      </c>
      <c r="E119" s="55">
        <v>46283</v>
      </c>
      <c r="F119" s="55">
        <v>46280</v>
      </c>
      <c r="G119" s="55">
        <v>46289</v>
      </c>
      <c r="H119" s="53" t="s">
        <v>102</v>
      </c>
      <c r="I119" s="53" t="s">
        <v>272</v>
      </c>
      <c r="J119" s="53" t="s">
        <v>104</v>
      </c>
      <c r="K119" s="53" t="s">
        <v>105</v>
      </c>
      <c r="L119" s="53" t="s">
        <v>106</v>
      </c>
      <c r="M119" s="53">
        <v>1</v>
      </c>
      <c r="N119" s="53">
        <v>4</v>
      </c>
      <c r="O119" s="53" t="s">
        <v>118</v>
      </c>
      <c r="P119" s="53">
        <v>20000</v>
      </c>
      <c r="Q119" s="53" t="s">
        <v>108</v>
      </c>
      <c r="R119" s="53" t="s">
        <v>109</v>
      </c>
      <c r="S119" s="53" t="s">
        <v>110</v>
      </c>
      <c r="T119" s="53" t="s">
        <v>111</v>
      </c>
      <c r="U119" s="53" t="s">
        <v>119</v>
      </c>
      <c r="V119" s="53" t="s">
        <v>113</v>
      </c>
      <c r="W119" s="53" t="s">
        <v>138</v>
      </c>
      <c r="X119" s="53" t="s">
        <v>273</v>
      </c>
      <c r="Y119" s="53">
        <f t="shared" si="74"/>
        <v>0</v>
      </c>
      <c r="Z119" s="53">
        <f t="shared" si="75"/>
        <v>0</v>
      </c>
      <c r="AA119" s="53">
        <f t="shared" si="76"/>
        <v>0</v>
      </c>
      <c r="AB119" s="53" t="s">
        <v>260</v>
      </c>
      <c r="AC119" s="53" t="s">
        <v>274</v>
      </c>
      <c r="AD119" s="53" t="s">
        <v>126</v>
      </c>
      <c r="AE119" s="53">
        <f t="shared" si="77"/>
        <v>0</v>
      </c>
      <c r="AF119" s="53">
        <f t="shared" si="78"/>
        <v>0</v>
      </c>
      <c r="AG119" s="53">
        <f t="shared" si="79"/>
        <v>0</v>
      </c>
      <c r="AH119" s="53">
        <f t="shared" si="80"/>
        <v>0</v>
      </c>
      <c r="AI119" s="53">
        <f t="shared" si="81"/>
        <v>0</v>
      </c>
      <c r="AJ119" s="53">
        <f t="shared" si="82"/>
        <v>0</v>
      </c>
      <c r="AK119" s="53">
        <f t="shared" si="83"/>
        <v>0</v>
      </c>
      <c r="AL119" s="53">
        <f t="shared" si="84"/>
        <v>0</v>
      </c>
      <c r="AM119" s="53">
        <f t="shared" si="85"/>
        <v>0</v>
      </c>
      <c r="AN119" s="53">
        <f t="shared" si="86"/>
        <v>0</v>
      </c>
      <c r="AO119" s="53">
        <f t="shared" si="87"/>
        <v>0</v>
      </c>
      <c r="AP119" s="53">
        <f t="shared" si="88"/>
        <v>0</v>
      </c>
      <c r="AQ119" s="53">
        <f t="shared" si="89"/>
        <v>0</v>
      </c>
      <c r="AR119" s="53">
        <f t="shared" si="90"/>
        <v>0</v>
      </c>
      <c r="AS119" s="53">
        <f t="shared" si="91"/>
        <v>0</v>
      </c>
    </row>
    <row r="120" spans="1:45">
      <c r="A120" s="53">
        <v>38</v>
      </c>
      <c r="B120" s="53"/>
      <c r="C120" s="53"/>
      <c r="D120" s="55"/>
      <c r="E120" s="55"/>
      <c r="F120" s="55"/>
      <c r="G120" s="55"/>
      <c r="H120" s="53"/>
      <c r="I120" s="53"/>
      <c r="J120" s="53"/>
      <c r="K120" s="53"/>
      <c r="L120" s="53"/>
      <c r="M120" s="53"/>
      <c r="N120" s="53"/>
      <c r="O120" s="53"/>
      <c r="P120" s="53"/>
      <c r="Q120" s="53"/>
      <c r="R120" s="53"/>
      <c r="S120" s="53"/>
      <c r="T120" s="53"/>
      <c r="U120" s="53"/>
      <c r="V120" s="53"/>
      <c r="W120" s="53"/>
      <c r="X120" s="53"/>
      <c r="Y120" s="53">
        <f t="shared" si="74"/>
        <v>0</v>
      </c>
      <c r="Z120" s="53">
        <f t="shared" si="75"/>
        <v>0</v>
      </c>
      <c r="AA120" s="53">
        <f t="shared" si="76"/>
        <v>0</v>
      </c>
      <c r="AB120" s="53" t="s">
        <v>260</v>
      </c>
      <c r="AC120" s="53" t="s">
        <v>275</v>
      </c>
      <c r="AD120" s="53"/>
      <c r="AE120" s="53">
        <f t="shared" si="77"/>
        <v>0</v>
      </c>
      <c r="AF120" s="53">
        <f t="shared" si="78"/>
        <v>0</v>
      </c>
      <c r="AG120" s="53">
        <f t="shared" si="79"/>
        <v>0</v>
      </c>
      <c r="AH120" s="53">
        <f t="shared" si="80"/>
        <v>0</v>
      </c>
      <c r="AI120" s="53">
        <f t="shared" si="81"/>
        <v>0</v>
      </c>
      <c r="AJ120" s="53">
        <f t="shared" si="82"/>
        <v>0</v>
      </c>
      <c r="AK120" s="53">
        <f t="shared" si="83"/>
        <v>0</v>
      </c>
      <c r="AL120" s="53">
        <f t="shared" si="84"/>
        <v>0</v>
      </c>
      <c r="AM120" s="53">
        <f t="shared" si="85"/>
        <v>0</v>
      </c>
      <c r="AN120" s="53">
        <f t="shared" si="86"/>
        <v>0</v>
      </c>
      <c r="AO120" s="53">
        <f t="shared" si="87"/>
        <v>0</v>
      </c>
      <c r="AP120" s="53">
        <f t="shared" si="88"/>
        <v>0</v>
      </c>
      <c r="AQ120" s="53">
        <f t="shared" si="89"/>
        <v>0</v>
      </c>
      <c r="AR120" s="53">
        <f t="shared" si="90"/>
        <v>0</v>
      </c>
      <c r="AS120" s="53">
        <f t="shared" si="91"/>
        <v>0</v>
      </c>
    </row>
    <row r="121" spans="1:45">
      <c r="A121" s="53">
        <v>38</v>
      </c>
      <c r="B121" s="53"/>
      <c r="C121" s="53"/>
      <c r="D121" s="55"/>
      <c r="E121" s="55"/>
      <c r="F121" s="55"/>
      <c r="G121" s="55"/>
      <c r="H121" s="53"/>
      <c r="I121" s="53"/>
      <c r="J121" s="53"/>
      <c r="K121" s="53"/>
      <c r="L121" s="53"/>
      <c r="M121" s="53"/>
      <c r="N121" s="53"/>
      <c r="O121" s="53"/>
      <c r="P121" s="53"/>
      <c r="Q121" s="53"/>
      <c r="R121" s="53"/>
      <c r="S121" s="53"/>
      <c r="T121" s="53"/>
      <c r="U121" s="53"/>
      <c r="V121" s="53"/>
      <c r="W121" s="53"/>
      <c r="X121" s="53"/>
      <c r="Y121" s="53">
        <f t="shared" si="74"/>
        <v>0</v>
      </c>
      <c r="Z121" s="53">
        <f t="shared" si="75"/>
        <v>0</v>
      </c>
      <c r="AA121" s="53">
        <f t="shared" si="76"/>
        <v>0</v>
      </c>
      <c r="AB121" s="53" t="s">
        <v>260</v>
      </c>
      <c r="AC121" s="53" t="s">
        <v>276</v>
      </c>
      <c r="AD121" s="53"/>
      <c r="AE121" s="53">
        <f t="shared" si="77"/>
        <v>0</v>
      </c>
      <c r="AF121" s="53">
        <f t="shared" si="78"/>
        <v>0</v>
      </c>
      <c r="AG121" s="53">
        <f t="shared" si="79"/>
        <v>0</v>
      </c>
      <c r="AH121" s="53">
        <f t="shared" si="80"/>
        <v>0</v>
      </c>
      <c r="AI121" s="53">
        <f t="shared" si="81"/>
        <v>0</v>
      </c>
      <c r="AJ121" s="53">
        <f t="shared" si="82"/>
        <v>0</v>
      </c>
      <c r="AK121" s="53">
        <f t="shared" si="83"/>
        <v>0</v>
      </c>
      <c r="AL121" s="53">
        <f t="shared" si="84"/>
        <v>0</v>
      </c>
      <c r="AM121" s="53">
        <f t="shared" si="85"/>
        <v>0</v>
      </c>
      <c r="AN121" s="53">
        <f t="shared" si="86"/>
        <v>0</v>
      </c>
      <c r="AO121" s="53">
        <f t="shared" si="87"/>
        <v>0</v>
      </c>
      <c r="AP121" s="53">
        <f t="shared" si="88"/>
        <v>0</v>
      </c>
      <c r="AQ121" s="53">
        <f t="shared" si="89"/>
        <v>0</v>
      </c>
      <c r="AR121" s="53">
        <f t="shared" si="90"/>
        <v>0</v>
      </c>
      <c r="AS121" s="53">
        <f t="shared" si="91"/>
        <v>0</v>
      </c>
    </row>
    <row r="122" spans="1:45">
      <c r="A122" s="53">
        <v>38</v>
      </c>
      <c r="B122" s="53"/>
      <c r="C122" s="53"/>
      <c r="D122" s="55"/>
      <c r="E122" s="55"/>
      <c r="F122" s="55"/>
      <c r="G122" s="55"/>
      <c r="H122" s="53"/>
      <c r="I122" s="53"/>
      <c r="J122" s="53"/>
      <c r="K122" s="53"/>
      <c r="L122" s="53"/>
      <c r="M122" s="53"/>
      <c r="N122" s="53"/>
      <c r="O122" s="53"/>
      <c r="P122" s="53"/>
      <c r="Q122" s="53"/>
      <c r="R122" s="53"/>
      <c r="S122" s="53"/>
      <c r="T122" s="53"/>
      <c r="U122" s="53"/>
      <c r="V122" s="53"/>
      <c r="W122" s="53"/>
      <c r="X122" s="53"/>
      <c r="Y122" s="53">
        <f t="shared" si="74"/>
        <v>0</v>
      </c>
      <c r="Z122" s="53">
        <f t="shared" si="75"/>
        <v>0</v>
      </c>
      <c r="AA122" s="53">
        <f t="shared" si="76"/>
        <v>0</v>
      </c>
      <c r="AB122" s="53" t="s">
        <v>260</v>
      </c>
      <c r="AC122" s="53" t="s">
        <v>277</v>
      </c>
      <c r="AD122" s="53"/>
      <c r="AE122" s="53">
        <f t="shared" si="77"/>
        <v>0</v>
      </c>
      <c r="AF122" s="53">
        <f t="shared" si="78"/>
        <v>0</v>
      </c>
      <c r="AG122" s="53">
        <f t="shared" si="79"/>
        <v>0</v>
      </c>
      <c r="AH122" s="53">
        <f t="shared" si="80"/>
        <v>0</v>
      </c>
      <c r="AI122" s="53">
        <f t="shared" si="81"/>
        <v>0</v>
      </c>
      <c r="AJ122" s="53">
        <f t="shared" si="82"/>
        <v>0</v>
      </c>
      <c r="AK122" s="53">
        <f t="shared" si="83"/>
        <v>0</v>
      </c>
      <c r="AL122" s="53">
        <f t="shared" si="84"/>
        <v>0</v>
      </c>
      <c r="AM122" s="53">
        <f t="shared" si="85"/>
        <v>0</v>
      </c>
      <c r="AN122" s="53">
        <f t="shared" si="86"/>
        <v>0</v>
      </c>
      <c r="AO122" s="53">
        <f t="shared" si="87"/>
        <v>0</v>
      </c>
      <c r="AP122" s="53">
        <f t="shared" si="88"/>
        <v>0</v>
      </c>
      <c r="AQ122" s="53">
        <f t="shared" si="89"/>
        <v>0</v>
      </c>
      <c r="AR122" s="53">
        <f t="shared" si="90"/>
        <v>0</v>
      </c>
      <c r="AS122" s="53">
        <f t="shared" si="91"/>
        <v>0</v>
      </c>
    </row>
    <row r="123" spans="1:45">
      <c r="A123" s="53">
        <v>38</v>
      </c>
      <c r="B123" s="53"/>
      <c r="C123" s="53"/>
      <c r="D123" s="55"/>
      <c r="E123" s="55"/>
      <c r="F123" s="55"/>
      <c r="G123" s="55"/>
      <c r="H123" s="53"/>
      <c r="I123" s="53"/>
      <c r="J123" s="53"/>
      <c r="K123" s="53"/>
      <c r="L123" s="53"/>
      <c r="M123" s="53"/>
      <c r="N123" s="53"/>
      <c r="O123" s="53"/>
      <c r="P123" s="53"/>
      <c r="Q123" s="53"/>
      <c r="R123" s="53"/>
      <c r="S123" s="53"/>
      <c r="T123" s="53"/>
      <c r="U123" s="53"/>
      <c r="V123" s="53"/>
      <c r="W123" s="53"/>
      <c r="X123" s="53"/>
      <c r="Y123" s="53">
        <f t="shared" si="74"/>
        <v>0</v>
      </c>
      <c r="Z123" s="53">
        <f t="shared" si="75"/>
        <v>0</v>
      </c>
      <c r="AA123" s="53">
        <f t="shared" si="76"/>
        <v>0</v>
      </c>
      <c r="AB123" s="53" t="s">
        <v>260</v>
      </c>
      <c r="AC123" s="53" t="s">
        <v>278</v>
      </c>
      <c r="AD123" s="53"/>
      <c r="AE123" s="53">
        <f t="shared" si="77"/>
        <v>0</v>
      </c>
      <c r="AF123" s="53">
        <f t="shared" si="78"/>
        <v>0</v>
      </c>
      <c r="AG123" s="53">
        <f t="shared" si="79"/>
        <v>0</v>
      </c>
      <c r="AH123" s="53">
        <f t="shared" si="80"/>
        <v>0</v>
      </c>
      <c r="AI123" s="53">
        <f t="shared" si="81"/>
        <v>0</v>
      </c>
      <c r="AJ123" s="53">
        <f t="shared" si="82"/>
        <v>0</v>
      </c>
      <c r="AK123" s="53">
        <f t="shared" si="83"/>
        <v>0</v>
      </c>
      <c r="AL123" s="53">
        <f t="shared" si="84"/>
        <v>0</v>
      </c>
      <c r="AM123" s="53">
        <f t="shared" si="85"/>
        <v>0</v>
      </c>
      <c r="AN123" s="53">
        <f t="shared" si="86"/>
        <v>0</v>
      </c>
      <c r="AO123" s="53">
        <f t="shared" si="87"/>
        <v>0</v>
      </c>
      <c r="AP123" s="53">
        <f t="shared" si="88"/>
        <v>0</v>
      </c>
      <c r="AQ123" s="53">
        <f t="shared" si="89"/>
        <v>0</v>
      </c>
      <c r="AR123" s="53">
        <f t="shared" si="90"/>
        <v>0</v>
      </c>
      <c r="AS123" s="53">
        <f t="shared" si="91"/>
        <v>0</v>
      </c>
    </row>
    <row r="124" spans="1:45">
      <c r="A124" s="53">
        <v>38</v>
      </c>
      <c r="B124" s="53"/>
      <c r="C124" s="53"/>
      <c r="D124" s="55"/>
      <c r="E124" s="55"/>
      <c r="F124" s="55"/>
      <c r="G124" s="55"/>
      <c r="H124" s="53"/>
      <c r="I124" s="53"/>
      <c r="J124" s="53"/>
      <c r="K124" s="53"/>
      <c r="L124" s="53"/>
      <c r="M124" s="53"/>
      <c r="N124" s="53"/>
      <c r="O124" s="53"/>
      <c r="P124" s="53"/>
      <c r="Q124" s="53"/>
      <c r="R124" s="53"/>
      <c r="S124" s="53"/>
      <c r="T124" s="53"/>
      <c r="U124" s="53"/>
      <c r="V124" s="53"/>
      <c r="W124" s="53"/>
      <c r="X124" s="53"/>
      <c r="Y124" s="53">
        <f t="shared" si="74"/>
        <v>0</v>
      </c>
      <c r="Z124" s="53">
        <f t="shared" si="75"/>
        <v>0</v>
      </c>
      <c r="AA124" s="53">
        <f t="shared" si="76"/>
        <v>0</v>
      </c>
      <c r="AB124" s="53" t="s">
        <v>260</v>
      </c>
      <c r="AC124" s="53" t="s">
        <v>279</v>
      </c>
      <c r="AD124" s="53"/>
      <c r="AE124" s="53">
        <f t="shared" si="77"/>
        <v>0</v>
      </c>
      <c r="AF124" s="53">
        <f t="shared" si="78"/>
        <v>0</v>
      </c>
      <c r="AG124" s="53">
        <f t="shared" si="79"/>
        <v>0</v>
      </c>
      <c r="AH124" s="53">
        <f t="shared" si="80"/>
        <v>0</v>
      </c>
      <c r="AI124" s="53">
        <f t="shared" si="81"/>
        <v>0</v>
      </c>
      <c r="AJ124" s="53">
        <f t="shared" si="82"/>
        <v>0</v>
      </c>
      <c r="AK124" s="53">
        <f t="shared" si="83"/>
        <v>0</v>
      </c>
      <c r="AL124" s="53">
        <f t="shared" si="84"/>
        <v>0</v>
      </c>
      <c r="AM124" s="53">
        <f t="shared" si="85"/>
        <v>0</v>
      </c>
      <c r="AN124" s="53">
        <f t="shared" si="86"/>
        <v>0</v>
      </c>
      <c r="AO124" s="53">
        <f t="shared" si="87"/>
        <v>0</v>
      </c>
      <c r="AP124" s="53">
        <f t="shared" si="88"/>
        <v>0</v>
      </c>
      <c r="AQ124" s="53">
        <f t="shared" si="89"/>
        <v>0</v>
      </c>
      <c r="AR124" s="53">
        <f t="shared" si="90"/>
        <v>0</v>
      </c>
      <c r="AS124" s="53">
        <f t="shared" si="91"/>
        <v>0</v>
      </c>
    </row>
    <row r="125" spans="1:45">
      <c r="A125" s="53">
        <v>38</v>
      </c>
      <c r="B125" s="53"/>
      <c r="C125" s="53"/>
      <c r="D125" s="55"/>
      <c r="E125" s="55"/>
      <c r="F125" s="55"/>
      <c r="G125" s="55"/>
      <c r="H125" s="53"/>
      <c r="I125" s="53"/>
      <c r="J125" s="53"/>
      <c r="K125" s="53"/>
      <c r="L125" s="53"/>
      <c r="M125" s="53"/>
      <c r="N125" s="53"/>
      <c r="O125" s="53"/>
      <c r="P125" s="53"/>
      <c r="Q125" s="53"/>
      <c r="R125" s="53"/>
      <c r="S125" s="53"/>
      <c r="T125" s="53"/>
      <c r="U125" s="53"/>
      <c r="V125" s="53"/>
      <c r="W125" s="53"/>
      <c r="X125" s="53"/>
      <c r="Y125" s="53">
        <f t="shared" si="74"/>
        <v>0</v>
      </c>
      <c r="Z125" s="53">
        <f t="shared" si="75"/>
        <v>0</v>
      </c>
      <c r="AA125" s="53">
        <f t="shared" si="76"/>
        <v>0</v>
      </c>
      <c r="AB125" s="53" t="s">
        <v>260</v>
      </c>
      <c r="AC125" s="53" t="s">
        <v>280</v>
      </c>
      <c r="AD125" s="53"/>
      <c r="AE125" s="53">
        <f t="shared" si="77"/>
        <v>0</v>
      </c>
      <c r="AF125" s="53">
        <f t="shared" si="78"/>
        <v>0</v>
      </c>
      <c r="AG125" s="53">
        <f t="shared" si="79"/>
        <v>0</v>
      </c>
      <c r="AH125" s="53">
        <f t="shared" si="80"/>
        <v>0</v>
      </c>
      <c r="AI125" s="53">
        <f t="shared" si="81"/>
        <v>0</v>
      </c>
      <c r="AJ125" s="53">
        <f t="shared" si="82"/>
        <v>0</v>
      </c>
      <c r="AK125" s="53">
        <f t="shared" si="83"/>
        <v>0</v>
      </c>
      <c r="AL125" s="53">
        <f t="shared" si="84"/>
        <v>0</v>
      </c>
      <c r="AM125" s="53">
        <f t="shared" si="85"/>
        <v>0</v>
      </c>
      <c r="AN125" s="53">
        <f t="shared" si="86"/>
        <v>0</v>
      </c>
      <c r="AO125" s="53">
        <f t="shared" si="87"/>
        <v>0</v>
      </c>
      <c r="AP125" s="53">
        <f t="shared" si="88"/>
        <v>0</v>
      </c>
      <c r="AQ125" s="53">
        <f t="shared" si="89"/>
        <v>0</v>
      </c>
      <c r="AR125" s="53">
        <f t="shared" si="90"/>
        <v>0</v>
      </c>
      <c r="AS125" s="53">
        <f t="shared" si="91"/>
        <v>0</v>
      </c>
    </row>
    <row r="126" spans="1:45">
      <c r="A126" s="53">
        <v>38</v>
      </c>
      <c r="B126" s="53"/>
      <c r="C126" s="53"/>
      <c r="D126" s="55"/>
      <c r="E126" s="55"/>
      <c r="F126" s="55"/>
      <c r="G126" s="55"/>
      <c r="H126" s="53"/>
      <c r="I126" s="53"/>
      <c r="J126" s="53"/>
      <c r="K126" s="53"/>
      <c r="L126" s="53"/>
      <c r="M126" s="53"/>
      <c r="N126" s="53"/>
      <c r="O126" s="53"/>
      <c r="P126" s="53"/>
      <c r="Q126" s="53"/>
      <c r="R126" s="53"/>
      <c r="S126" s="53"/>
      <c r="T126" s="53"/>
      <c r="U126" s="53"/>
      <c r="V126" s="53"/>
      <c r="W126" s="53"/>
      <c r="X126" s="53"/>
      <c r="Y126" s="53">
        <f t="shared" si="74"/>
        <v>0</v>
      </c>
      <c r="Z126" s="53">
        <f t="shared" si="75"/>
        <v>0</v>
      </c>
      <c r="AA126" s="53">
        <f t="shared" si="76"/>
        <v>0</v>
      </c>
      <c r="AB126" s="53" t="s">
        <v>260</v>
      </c>
      <c r="AC126" s="53" t="s">
        <v>281</v>
      </c>
      <c r="AD126" s="53"/>
      <c r="AE126" s="53">
        <f t="shared" si="77"/>
        <v>0</v>
      </c>
      <c r="AF126" s="53">
        <f t="shared" si="78"/>
        <v>0</v>
      </c>
      <c r="AG126" s="53">
        <f t="shared" si="79"/>
        <v>0</v>
      </c>
      <c r="AH126" s="53">
        <f t="shared" si="80"/>
        <v>0</v>
      </c>
      <c r="AI126" s="53">
        <f t="shared" si="81"/>
        <v>0</v>
      </c>
      <c r="AJ126" s="53">
        <f t="shared" si="82"/>
        <v>0</v>
      </c>
      <c r="AK126" s="53">
        <f t="shared" si="83"/>
        <v>0</v>
      </c>
      <c r="AL126" s="53">
        <f t="shared" si="84"/>
        <v>0</v>
      </c>
      <c r="AM126" s="53">
        <f t="shared" si="85"/>
        <v>0</v>
      </c>
      <c r="AN126" s="53">
        <f t="shared" si="86"/>
        <v>0</v>
      </c>
      <c r="AO126" s="53">
        <f t="shared" si="87"/>
        <v>0</v>
      </c>
      <c r="AP126" s="53">
        <f t="shared" si="88"/>
        <v>0</v>
      </c>
      <c r="AQ126" s="53">
        <f t="shared" si="89"/>
        <v>0</v>
      </c>
      <c r="AR126" s="53">
        <f t="shared" si="90"/>
        <v>0</v>
      </c>
      <c r="AS126" s="53">
        <f t="shared" si="91"/>
        <v>0</v>
      </c>
    </row>
    <row r="127" spans="1:45">
      <c r="A127" s="53">
        <v>38</v>
      </c>
      <c r="B127" s="53"/>
      <c r="C127" s="53"/>
      <c r="D127" s="55"/>
      <c r="E127" s="55"/>
      <c r="F127" s="55"/>
      <c r="G127" s="55"/>
      <c r="H127" s="53"/>
      <c r="I127" s="53"/>
      <c r="J127" s="53"/>
      <c r="K127" s="53"/>
      <c r="L127" s="53"/>
      <c r="M127" s="53"/>
      <c r="N127" s="53"/>
      <c r="O127" s="53"/>
      <c r="P127" s="53"/>
      <c r="Q127" s="53"/>
      <c r="R127" s="53"/>
      <c r="S127" s="53"/>
      <c r="T127" s="53"/>
      <c r="U127" s="53"/>
      <c r="V127" s="53"/>
      <c r="W127" s="53"/>
      <c r="X127" s="53"/>
      <c r="Y127" s="53">
        <f t="shared" si="74"/>
        <v>0</v>
      </c>
      <c r="Z127" s="53">
        <f t="shared" si="75"/>
        <v>0</v>
      </c>
      <c r="AA127" s="53">
        <f t="shared" si="76"/>
        <v>0</v>
      </c>
      <c r="AB127" s="53" t="s">
        <v>260</v>
      </c>
      <c r="AC127" s="53" t="s">
        <v>282</v>
      </c>
      <c r="AD127" s="53"/>
      <c r="AE127" s="53">
        <f t="shared" si="77"/>
        <v>0</v>
      </c>
      <c r="AF127" s="53">
        <f t="shared" si="78"/>
        <v>0</v>
      </c>
      <c r="AG127" s="53">
        <f t="shared" si="79"/>
        <v>0</v>
      </c>
      <c r="AH127" s="53">
        <f t="shared" si="80"/>
        <v>0</v>
      </c>
      <c r="AI127" s="53">
        <f t="shared" si="81"/>
        <v>0</v>
      </c>
      <c r="AJ127" s="53">
        <f t="shared" si="82"/>
        <v>0</v>
      </c>
      <c r="AK127" s="53">
        <f t="shared" si="83"/>
        <v>0</v>
      </c>
      <c r="AL127" s="53">
        <f t="shared" si="84"/>
        <v>0</v>
      </c>
      <c r="AM127" s="53">
        <f t="shared" si="85"/>
        <v>0</v>
      </c>
      <c r="AN127" s="53">
        <f t="shared" si="86"/>
        <v>0</v>
      </c>
      <c r="AO127" s="53">
        <f t="shared" si="87"/>
        <v>0</v>
      </c>
      <c r="AP127" s="53">
        <f t="shared" si="88"/>
        <v>0</v>
      </c>
      <c r="AQ127" s="53">
        <f t="shared" si="89"/>
        <v>0</v>
      </c>
      <c r="AR127" s="53">
        <f t="shared" si="90"/>
        <v>0</v>
      </c>
      <c r="AS127" s="53">
        <f t="shared" si="91"/>
        <v>0</v>
      </c>
    </row>
    <row r="128" spans="1:45">
      <c r="A128" s="53">
        <v>38</v>
      </c>
      <c r="B128" s="53"/>
      <c r="C128" s="53"/>
      <c r="D128" s="55"/>
      <c r="E128" s="55"/>
      <c r="F128" s="55"/>
      <c r="G128" s="55"/>
      <c r="H128" s="53"/>
      <c r="I128" s="53"/>
      <c r="J128" s="53"/>
      <c r="K128" s="53"/>
      <c r="L128" s="53"/>
      <c r="M128" s="53"/>
      <c r="N128" s="53"/>
      <c r="O128" s="53"/>
      <c r="P128" s="53"/>
      <c r="Q128" s="53"/>
      <c r="R128" s="53"/>
      <c r="S128" s="53"/>
      <c r="T128" s="53"/>
      <c r="U128" s="53"/>
      <c r="V128" s="53"/>
      <c r="W128" s="53"/>
      <c r="X128" s="53"/>
      <c r="Y128" s="53">
        <f t="shared" si="74"/>
        <v>0</v>
      </c>
      <c r="Z128" s="53">
        <f t="shared" si="75"/>
        <v>0</v>
      </c>
      <c r="AA128" s="53">
        <f t="shared" si="76"/>
        <v>0</v>
      </c>
      <c r="AB128" s="53" t="s">
        <v>260</v>
      </c>
      <c r="AC128" s="53" t="s">
        <v>283</v>
      </c>
      <c r="AD128" s="53"/>
      <c r="AE128" s="53">
        <f t="shared" si="77"/>
        <v>0</v>
      </c>
      <c r="AF128" s="53">
        <f t="shared" si="78"/>
        <v>0</v>
      </c>
      <c r="AG128" s="53">
        <f t="shared" si="79"/>
        <v>0</v>
      </c>
      <c r="AH128" s="53">
        <f t="shared" si="80"/>
        <v>0</v>
      </c>
      <c r="AI128" s="53">
        <f t="shared" si="81"/>
        <v>0</v>
      </c>
      <c r="AJ128" s="53">
        <f t="shared" si="82"/>
        <v>0</v>
      </c>
      <c r="AK128" s="53">
        <f t="shared" si="83"/>
        <v>0</v>
      </c>
      <c r="AL128" s="53">
        <f t="shared" si="84"/>
        <v>0</v>
      </c>
      <c r="AM128" s="53">
        <f t="shared" si="85"/>
        <v>0</v>
      </c>
      <c r="AN128" s="53">
        <f t="shared" si="86"/>
        <v>0</v>
      </c>
      <c r="AO128" s="53">
        <f t="shared" si="87"/>
        <v>0</v>
      </c>
      <c r="AP128" s="53">
        <f t="shared" si="88"/>
        <v>0</v>
      </c>
      <c r="AQ128" s="53">
        <f t="shared" si="89"/>
        <v>0</v>
      </c>
      <c r="AR128" s="53">
        <f t="shared" si="90"/>
        <v>0</v>
      </c>
      <c r="AS128" s="53">
        <f t="shared" si="91"/>
        <v>0</v>
      </c>
    </row>
    <row r="129" spans="1:45">
      <c r="A129" s="53">
        <v>38</v>
      </c>
      <c r="B129" s="53"/>
      <c r="C129" s="53"/>
      <c r="D129" s="55"/>
      <c r="E129" s="55"/>
      <c r="F129" s="55"/>
      <c r="G129" s="55"/>
      <c r="H129" s="53"/>
      <c r="I129" s="53"/>
      <c r="J129" s="53"/>
      <c r="K129" s="53"/>
      <c r="L129" s="53"/>
      <c r="M129" s="53"/>
      <c r="N129" s="53"/>
      <c r="O129" s="53"/>
      <c r="P129" s="53"/>
      <c r="Q129" s="53"/>
      <c r="R129" s="53"/>
      <c r="S129" s="53"/>
      <c r="T129" s="53"/>
      <c r="U129" s="53"/>
      <c r="V129" s="53"/>
      <c r="W129" s="53"/>
      <c r="X129" s="53"/>
      <c r="Y129" s="53">
        <f t="shared" si="74"/>
        <v>0</v>
      </c>
      <c r="Z129" s="53">
        <f t="shared" si="75"/>
        <v>0</v>
      </c>
      <c r="AA129" s="53">
        <f t="shared" si="76"/>
        <v>0</v>
      </c>
      <c r="AB129" s="53" t="s">
        <v>260</v>
      </c>
      <c r="AC129" s="53" t="s">
        <v>284</v>
      </c>
      <c r="AD129" s="53"/>
      <c r="AE129" s="53">
        <f t="shared" si="77"/>
        <v>0</v>
      </c>
      <c r="AF129" s="53">
        <f t="shared" si="78"/>
        <v>0</v>
      </c>
      <c r="AG129" s="53">
        <f t="shared" si="79"/>
        <v>0</v>
      </c>
      <c r="AH129" s="53">
        <f t="shared" si="80"/>
        <v>0</v>
      </c>
      <c r="AI129" s="53">
        <f t="shared" si="81"/>
        <v>0</v>
      </c>
      <c r="AJ129" s="53">
        <f t="shared" si="82"/>
        <v>0</v>
      </c>
      <c r="AK129" s="53">
        <f t="shared" si="83"/>
        <v>0</v>
      </c>
      <c r="AL129" s="53">
        <f t="shared" si="84"/>
        <v>0</v>
      </c>
      <c r="AM129" s="53">
        <f t="shared" si="85"/>
        <v>0</v>
      </c>
      <c r="AN129" s="53">
        <f t="shared" si="86"/>
        <v>0</v>
      </c>
      <c r="AO129" s="53">
        <f t="shared" si="87"/>
        <v>0</v>
      </c>
      <c r="AP129" s="53">
        <f t="shared" si="88"/>
        <v>0</v>
      </c>
      <c r="AQ129" s="53">
        <f t="shared" si="89"/>
        <v>0</v>
      </c>
      <c r="AR129" s="53">
        <f t="shared" si="90"/>
        <v>0</v>
      </c>
      <c r="AS129" s="53">
        <f t="shared" si="91"/>
        <v>0</v>
      </c>
    </row>
    <row r="130" spans="1:45">
      <c r="A130" s="53">
        <v>38</v>
      </c>
      <c r="B130" s="53"/>
      <c r="C130" s="53"/>
      <c r="D130" s="55"/>
      <c r="E130" s="55"/>
      <c r="F130" s="55"/>
      <c r="G130" s="55"/>
      <c r="H130" s="53"/>
      <c r="I130" s="53"/>
      <c r="J130" s="53"/>
      <c r="K130" s="53"/>
      <c r="L130" s="53"/>
      <c r="M130" s="53"/>
      <c r="N130" s="53"/>
      <c r="O130" s="53"/>
      <c r="P130" s="53"/>
      <c r="Q130" s="53"/>
      <c r="R130" s="53"/>
      <c r="S130" s="53"/>
      <c r="T130" s="53"/>
      <c r="U130" s="53"/>
      <c r="V130" s="53"/>
      <c r="W130" s="53"/>
      <c r="X130" s="53"/>
      <c r="Y130" s="53">
        <f t="shared" si="74"/>
        <v>0</v>
      </c>
      <c r="Z130" s="53">
        <f t="shared" si="75"/>
        <v>0</v>
      </c>
      <c r="AA130" s="53">
        <f t="shared" si="76"/>
        <v>0</v>
      </c>
      <c r="AB130" s="53" t="s">
        <v>260</v>
      </c>
      <c r="AC130" s="53" t="s">
        <v>285</v>
      </c>
      <c r="AD130" s="53"/>
      <c r="AE130" s="53">
        <f t="shared" si="77"/>
        <v>0</v>
      </c>
      <c r="AF130" s="53">
        <f t="shared" si="78"/>
        <v>0</v>
      </c>
      <c r="AG130" s="53">
        <f t="shared" si="79"/>
        <v>0</v>
      </c>
      <c r="AH130" s="53">
        <f t="shared" si="80"/>
        <v>0</v>
      </c>
      <c r="AI130" s="53">
        <f t="shared" si="81"/>
        <v>0</v>
      </c>
      <c r="AJ130" s="53">
        <f t="shared" si="82"/>
        <v>0</v>
      </c>
      <c r="AK130" s="53">
        <f t="shared" si="83"/>
        <v>0</v>
      </c>
      <c r="AL130" s="53">
        <f t="shared" si="84"/>
        <v>0</v>
      </c>
      <c r="AM130" s="53">
        <f t="shared" si="85"/>
        <v>0</v>
      </c>
      <c r="AN130" s="53">
        <f t="shared" si="86"/>
        <v>0</v>
      </c>
      <c r="AO130" s="53">
        <f t="shared" si="87"/>
        <v>0</v>
      </c>
      <c r="AP130" s="53">
        <f t="shared" si="88"/>
        <v>0</v>
      </c>
      <c r="AQ130" s="53">
        <f t="shared" si="89"/>
        <v>0</v>
      </c>
      <c r="AR130" s="53">
        <f t="shared" si="90"/>
        <v>0</v>
      </c>
      <c r="AS130" s="53">
        <f t="shared" si="91"/>
        <v>0</v>
      </c>
    </row>
    <row r="131" spans="1:45">
      <c r="A131" s="53">
        <v>38</v>
      </c>
      <c r="B131" s="53"/>
      <c r="C131" s="53"/>
      <c r="D131" s="55"/>
      <c r="E131" s="55"/>
      <c r="F131" s="55"/>
      <c r="G131" s="55"/>
      <c r="H131" s="53"/>
      <c r="I131" s="53"/>
      <c r="J131" s="53"/>
      <c r="K131" s="53"/>
      <c r="L131" s="53"/>
      <c r="M131" s="53"/>
      <c r="N131" s="53"/>
      <c r="O131" s="53"/>
      <c r="P131" s="53"/>
      <c r="Q131" s="53"/>
      <c r="R131" s="53"/>
      <c r="S131" s="53"/>
      <c r="T131" s="53"/>
      <c r="U131" s="53"/>
      <c r="V131" s="53"/>
      <c r="W131" s="53"/>
      <c r="X131" s="53"/>
      <c r="Y131" s="53">
        <f t="shared" si="74"/>
        <v>0</v>
      </c>
      <c r="Z131" s="53">
        <f t="shared" si="75"/>
        <v>0</v>
      </c>
      <c r="AA131" s="53">
        <f t="shared" si="76"/>
        <v>0</v>
      </c>
      <c r="AB131" s="53" t="s">
        <v>260</v>
      </c>
      <c r="AC131" s="53" t="s">
        <v>286</v>
      </c>
      <c r="AD131" s="53"/>
      <c r="AE131" s="53">
        <f t="shared" si="77"/>
        <v>0</v>
      </c>
      <c r="AF131" s="53">
        <f t="shared" si="78"/>
        <v>0</v>
      </c>
      <c r="AG131" s="53">
        <f t="shared" si="79"/>
        <v>0</v>
      </c>
      <c r="AH131" s="53">
        <f t="shared" si="80"/>
        <v>0</v>
      </c>
      <c r="AI131" s="53">
        <f t="shared" si="81"/>
        <v>0</v>
      </c>
      <c r="AJ131" s="53">
        <f t="shared" si="82"/>
        <v>0</v>
      </c>
      <c r="AK131" s="53">
        <f t="shared" si="83"/>
        <v>0</v>
      </c>
      <c r="AL131" s="53">
        <f t="shared" si="84"/>
        <v>0</v>
      </c>
      <c r="AM131" s="53">
        <f t="shared" si="85"/>
        <v>0</v>
      </c>
      <c r="AN131" s="53">
        <f t="shared" si="86"/>
        <v>0</v>
      </c>
      <c r="AO131" s="53">
        <f t="shared" si="87"/>
        <v>0</v>
      </c>
      <c r="AP131" s="53">
        <f t="shared" si="88"/>
        <v>0</v>
      </c>
      <c r="AQ131" s="53">
        <f t="shared" si="89"/>
        <v>0</v>
      </c>
      <c r="AR131" s="53">
        <f t="shared" si="90"/>
        <v>0</v>
      </c>
      <c r="AS131" s="53">
        <f t="shared" si="91"/>
        <v>0</v>
      </c>
    </row>
    <row r="132" spans="1:45">
      <c r="A132" s="53">
        <v>38</v>
      </c>
      <c r="B132" s="53"/>
      <c r="C132" s="53"/>
      <c r="D132" s="55"/>
      <c r="E132" s="55"/>
      <c r="F132" s="55"/>
      <c r="G132" s="55"/>
      <c r="H132" s="53"/>
      <c r="I132" s="53"/>
      <c r="J132" s="53"/>
      <c r="K132" s="53"/>
      <c r="L132" s="53"/>
      <c r="M132" s="53"/>
      <c r="N132" s="53"/>
      <c r="O132" s="53"/>
      <c r="P132" s="53"/>
      <c r="Q132" s="53"/>
      <c r="R132" s="53"/>
      <c r="S132" s="53"/>
      <c r="T132" s="53"/>
      <c r="U132" s="53"/>
      <c r="V132" s="53"/>
      <c r="W132" s="53"/>
      <c r="X132" s="53"/>
      <c r="Y132" s="53">
        <f t="shared" si="74"/>
        <v>0</v>
      </c>
      <c r="Z132" s="53">
        <f t="shared" si="75"/>
        <v>0</v>
      </c>
      <c r="AA132" s="53">
        <f t="shared" si="76"/>
        <v>0</v>
      </c>
      <c r="AB132" s="53" t="s">
        <v>260</v>
      </c>
      <c r="AC132" s="53" t="s">
        <v>287</v>
      </c>
      <c r="AD132" s="53"/>
      <c r="AE132" s="53">
        <f t="shared" si="77"/>
        <v>0</v>
      </c>
      <c r="AF132" s="53">
        <f t="shared" si="78"/>
        <v>0</v>
      </c>
      <c r="AG132" s="53">
        <f t="shared" si="79"/>
        <v>0</v>
      </c>
      <c r="AH132" s="53">
        <f t="shared" si="80"/>
        <v>0</v>
      </c>
      <c r="AI132" s="53">
        <f t="shared" si="81"/>
        <v>0</v>
      </c>
      <c r="AJ132" s="53">
        <f t="shared" si="82"/>
        <v>0</v>
      </c>
      <c r="AK132" s="53">
        <f t="shared" si="83"/>
        <v>0</v>
      </c>
      <c r="AL132" s="53">
        <f t="shared" si="84"/>
        <v>0</v>
      </c>
      <c r="AM132" s="53">
        <f t="shared" si="85"/>
        <v>0</v>
      </c>
      <c r="AN132" s="53">
        <f t="shared" si="86"/>
        <v>0</v>
      </c>
      <c r="AO132" s="53">
        <f t="shared" si="87"/>
        <v>0</v>
      </c>
      <c r="AP132" s="53">
        <f t="shared" si="88"/>
        <v>0</v>
      </c>
      <c r="AQ132" s="53">
        <f t="shared" si="89"/>
        <v>0</v>
      </c>
      <c r="AR132" s="53">
        <f t="shared" si="90"/>
        <v>0</v>
      </c>
      <c r="AS132" s="53">
        <f t="shared" si="91"/>
        <v>0</v>
      </c>
    </row>
    <row r="133" spans="1:45">
      <c r="A133" s="53">
        <v>38</v>
      </c>
      <c r="B133" s="53"/>
      <c r="C133" s="53"/>
      <c r="D133" s="55"/>
      <c r="E133" s="55"/>
      <c r="F133" s="55"/>
      <c r="G133" s="55"/>
      <c r="H133" s="53"/>
      <c r="I133" s="53"/>
      <c r="J133" s="53"/>
      <c r="K133" s="53"/>
      <c r="L133" s="53"/>
      <c r="M133" s="53"/>
      <c r="N133" s="53"/>
      <c r="O133" s="53"/>
      <c r="P133" s="53"/>
      <c r="Q133" s="53"/>
      <c r="R133" s="53"/>
      <c r="S133" s="53"/>
      <c r="T133" s="53"/>
      <c r="U133" s="53"/>
      <c r="V133" s="53"/>
      <c r="W133" s="53"/>
      <c r="X133" s="53"/>
      <c r="Y133" s="53">
        <f t="shared" si="74"/>
        <v>0</v>
      </c>
      <c r="Z133" s="53">
        <f t="shared" si="75"/>
        <v>0</v>
      </c>
      <c r="AA133" s="53">
        <f t="shared" si="76"/>
        <v>0</v>
      </c>
      <c r="AB133" s="53" t="s">
        <v>260</v>
      </c>
      <c r="AC133" s="53" t="s">
        <v>288</v>
      </c>
      <c r="AD133" s="53"/>
      <c r="AE133" s="53">
        <f t="shared" si="77"/>
        <v>0</v>
      </c>
      <c r="AF133" s="53">
        <f t="shared" si="78"/>
        <v>0</v>
      </c>
      <c r="AG133" s="53">
        <f t="shared" si="79"/>
        <v>0</v>
      </c>
      <c r="AH133" s="53">
        <f t="shared" si="80"/>
        <v>0</v>
      </c>
      <c r="AI133" s="53">
        <f t="shared" si="81"/>
        <v>0</v>
      </c>
      <c r="AJ133" s="53">
        <f t="shared" si="82"/>
        <v>0</v>
      </c>
      <c r="AK133" s="53">
        <f t="shared" si="83"/>
        <v>0</v>
      </c>
      <c r="AL133" s="53">
        <f t="shared" si="84"/>
        <v>0</v>
      </c>
      <c r="AM133" s="53">
        <f t="shared" si="85"/>
        <v>0</v>
      </c>
      <c r="AN133" s="53">
        <f t="shared" si="86"/>
        <v>0</v>
      </c>
      <c r="AO133" s="53">
        <f t="shared" si="87"/>
        <v>0</v>
      </c>
      <c r="AP133" s="53">
        <f t="shared" si="88"/>
        <v>0</v>
      </c>
      <c r="AQ133" s="53">
        <f t="shared" si="89"/>
        <v>0</v>
      </c>
      <c r="AR133" s="53">
        <f t="shared" si="90"/>
        <v>0</v>
      </c>
      <c r="AS133" s="53">
        <f t="shared" si="91"/>
        <v>0</v>
      </c>
    </row>
    <row r="134" spans="1:45">
      <c r="A134" s="53">
        <v>38</v>
      </c>
      <c r="B134" s="53"/>
      <c r="C134" s="53"/>
      <c r="D134" s="55"/>
      <c r="E134" s="55"/>
      <c r="F134" s="55"/>
      <c r="G134" s="55"/>
      <c r="H134" s="53"/>
      <c r="I134" s="53"/>
      <c r="J134" s="53"/>
      <c r="K134" s="53"/>
      <c r="L134" s="53"/>
      <c r="M134" s="53"/>
      <c r="N134" s="53"/>
      <c r="O134" s="53"/>
      <c r="P134" s="53"/>
      <c r="Q134" s="53"/>
      <c r="R134" s="53"/>
      <c r="S134" s="53"/>
      <c r="T134" s="53"/>
      <c r="U134" s="53"/>
      <c r="V134" s="53"/>
      <c r="W134" s="53"/>
      <c r="X134" s="53"/>
      <c r="Y134" s="53">
        <f t="shared" si="74"/>
        <v>0</v>
      </c>
      <c r="Z134" s="53">
        <f t="shared" si="75"/>
        <v>0</v>
      </c>
      <c r="AA134" s="53">
        <f t="shared" si="76"/>
        <v>0</v>
      </c>
      <c r="AB134" s="53" t="s">
        <v>260</v>
      </c>
      <c r="AC134" s="53" t="s">
        <v>289</v>
      </c>
      <c r="AD134" s="53"/>
      <c r="AE134" s="53">
        <f t="shared" si="77"/>
        <v>0</v>
      </c>
      <c r="AF134" s="53">
        <f t="shared" si="78"/>
        <v>0</v>
      </c>
      <c r="AG134" s="53">
        <f t="shared" si="79"/>
        <v>0</v>
      </c>
      <c r="AH134" s="53">
        <f t="shared" si="80"/>
        <v>0</v>
      </c>
      <c r="AI134" s="53">
        <f t="shared" si="81"/>
        <v>0</v>
      </c>
      <c r="AJ134" s="53">
        <f t="shared" si="82"/>
        <v>0</v>
      </c>
      <c r="AK134" s="53">
        <f t="shared" si="83"/>
        <v>0</v>
      </c>
      <c r="AL134" s="53">
        <f t="shared" si="84"/>
        <v>0</v>
      </c>
      <c r="AM134" s="53">
        <f t="shared" si="85"/>
        <v>0</v>
      </c>
      <c r="AN134" s="53">
        <f t="shared" si="86"/>
        <v>0</v>
      </c>
      <c r="AO134" s="53">
        <f t="shared" si="87"/>
        <v>0</v>
      </c>
      <c r="AP134" s="53">
        <f t="shared" si="88"/>
        <v>0</v>
      </c>
      <c r="AQ134" s="53">
        <f t="shared" si="89"/>
        <v>0</v>
      </c>
      <c r="AR134" s="53">
        <f t="shared" si="90"/>
        <v>0</v>
      </c>
      <c r="AS134" s="53">
        <f t="shared" si="91"/>
        <v>0</v>
      </c>
    </row>
    <row r="135" spans="1:45">
      <c r="A135" s="53">
        <v>38</v>
      </c>
      <c r="B135" s="53"/>
      <c r="C135" s="53"/>
      <c r="D135" s="55"/>
      <c r="E135" s="55"/>
      <c r="F135" s="55"/>
      <c r="G135" s="55"/>
      <c r="H135" s="53"/>
      <c r="I135" s="53"/>
      <c r="J135" s="53"/>
      <c r="K135" s="53"/>
      <c r="L135" s="53"/>
      <c r="M135" s="53"/>
      <c r="N135" s="53"/>
      <c r="O135" s="53"/>
      <c r="P135" s="53"/>
      <c r="Q135" s="53"/>
      <c r="R135" s="53"/>
      <c r="S135" s="53"/>
      <c r="T135" s="53"/>
      <c r="U135" s="53"/>
      <c r="V135" s="53"/>
      <c r="W135" s="53"/>
      <c r="X135" s="53"/>
      <c r="Y135" s="53">
        <f t="shared" si="74"/>
        <v>0</v>
      </c>
      <c r="Z135" s="53">
        <f t="shared" si="75"/>
        <v>0</v>
      </c>
      <c r="AA135" s="53">
        <f t="shared" si="76"/>
        <v>0</v>
      </c>
      <c r="AB135" s="53" t="s">
        <v>260</v>
      </c>
      <c r="AC135" s="53" t="s">
        <v>290</v>
      </c>
      <c r="AD135" s="53"/>
      <c r="AE135" s="53">
        <f t="shared" si="77"/>
        <v>0</v>
      </c>
      <c r="AF135" s="53">
        <f t="shared" si="78"/>
        <v>0</v>
      </c>
      <c r="AG135" s="53">
        <f t="shared" si="79"/>
        <v>0</v>
      </c>
      <c r="AH135" s="53">
        <f t="shared" si="80"/>
        <v>0</v>
      </c>
      <c r="AI135" s="53">
        <f t="shared" si="81"/>
        <v>0</v>
      </c>
      <c r="AJ135" s="53">
        <f t="shared" si="82"/>
        <v>0</v>
      </c>
      <c r="AK135" s="53">
        <f t="shared" si="83"/>
        <v>0</v>
      </c>
      <c r="AL135" s="53">
        <f t="shared" si="84"/>
        <v>0</v>
      </c>
      <c r="AM135" s="53">
        <f t="shared" si="85"/>
        <v>0</v>
      </c>
      <c r="AN135" s="53">
        <f t="shared" si="86"/>
        <v>0</v>
      </c>
      <c r="AO135" s="53">
        <f t="shared" si="87"/>
        <v>0</v>
      </c>
      <c r="AP135" s="53">
        <f t="shared" si="88"/>
        <v>0</v>
      </c>
      <c r="AQ135" s="53">
        <f t="shared" si="89"/>
        <v>0</v>
      </c>
      <c r="AR135" s="53">
        <f t="shared" si="90"/>
        <v>0</v>
      </c>
      <c r="AS135" s="53">
        <f t="shared" si="91"/>
        <v>0</v>
      </c>
    </row>
    <row r="136" spans="1:45">
      <c r="A136" s="53">
        <v>38</v>
      </c>
      <c r="B136" s="53"/>
      <c r="C136" s="53"/>
      <c r="D136" s="55"/>
      <c r="E136" s="55"/>
      <c r="F136" s="55"/>
      <c r="G136" s="55"/>
      <c r="H136" s="53"/>
      <c r="I136" s="53"/>
      <c r="J136" s="53"/>
      <c r="K136" s="53"/>
      <c r="L136" s="53"/>
      <c r="M136" s="53"/>
      <c r="N136" s="53"/>
      <c r="O136" s="53"/>
      <c r="P136" s="53"/>
      <c r="Q136" s="53"/>
      <c r="R136" s="53"/>
      <c r="S136" s="53"/>
      <c r="T136" s="53"/>
      <c r="U136" s="53"/>
      <c r="V136" s="53"/>
      <c r="W136" s="53"/>
      <c r="X136" s="53"/>
      <c r="Y136" s="53">
        <f t="shared" si="74"/>
        <v>0</v>
      </c>
      <c r="Z136" s="53">
        <f t="shared" si="75"/>
        <v>0</v>
      </c>
      <c r="AA136" s="53">
        <f t="shared" si="76"/>
        <v>0</v>
      </c>
      <c r="AB136" s="53" t="s">
        <v>260</v>
      </c>
      <c r="AC136" s="53" t="s">
        <v>291</v>
      </c>
      <c r="AD136" s="53"/>
      <c r="AE136" s="53">
        <f t="shared" si="77"/>
        <v>0</v>
      </c>
      <c r="AF136" s="53">
        <f t="shared" si="78"/>
        <v>0</v>
      </c>
      <c r="AG136" s="53">
        <f t="shared" si="79"/>
        <v>0</v>
      </c>
      <c r="AH136" s="53">
        <f t="shared" si="80"/>
        <v>0</v>
      </c>
      <c r="AI136" s="53">
        <f t="shared" si="81"/>
        <v>0</v>
      </c>
      <c r="AJ136" s="53">
        <f t="shared" si="82"/>
        <v>0</v>
      </c>
      <c r="AK136" s="53">
        <f t="shared" si="83"/>
        <v>0</v>
      </c>
      <c r="AL136" s="53">
        <f t="shared" si="84"/>
        <v>0</v>
      </c>
      <c r="AM136" s="53">
        <f t="shared" si="85"/>
        <v>0</v>
      </c>
      <c r="AN136" s="53">
        <f t="shared" si="86"/>
        <v>0</v>
      </c>
      <c r="AO136" s="53">
        <f t="shared" si="87"/>
        <v>0</v>
      </c>
      <c r="AP136" s="53">
        <f t="shared" si="88"/>
        <v>0</v>
      </c>
      <c r="AQ136" s="53">
        <f t="shared" si="89"/>
        <v>0</v>
      </c>
      <c r="AR136" s="53">
        <f t="shared" si="90"/>
        <v>0</v>
      </c>
      <c r="AS136" s="53">
        <f t="shared" si="91"/>
        <v>0</v>
      </c>
    </row>
    <row r="137" spans="1:45">
      <c r="A137" s="53">
        <v>38</v>
      </c>
      <c r="B137" s="53"/>
      <c r="C137" s="53"/>
      <c r="D137" s="55"/>
      <c r="E137" s="55"/>
      <c r="F137" s="55"/>
      <c r="G137" s="55"/>
      <c r="H137" s="53"/>
      <c r="I137" s="53"/>
      <c r="J137" s="53"/>
      <c r="K137" s="53"/>
      <c r="L137" s="53"/>
      <c r="M137" s="53"/>
      <c r="N137" s="53"/>
      <c r="O137" s="53"/>
      <c r="P137" s="53"/>
      <c r="Q137" s="53"/>
      <c r="R137" s="53"/>
      <c r="S137" s="53"/>
      <c r="T137" s="53"/>
      <c r="U137" s="53"/>
      <c r="V137" s="53"/>
      <c r="W137" s="53"/>
      <c r="X137" s="53"/>
      <c r="Y137" s="53">
        <f t="shared" si="74"/>
        <v>0</v>
      </c>
      <c r="Z137" s="53">
        <f t="shared" si="75"/>
        <v>0</v>
      </c>
      <c r="AA137" s="53">
        <f t="shared" si="76"/>
        <v>0</v>
      </c>
      <c r="AB137" s="53" t="s">
        <v>260</v>
      </c>
      <c r="AC137" s="53" t="s">
        <v>292</v>
      </c>
      <c r="AD137" s="53"/>
      <c r="AE137" s="53">
        <f t="shared" si="77"/>
        <v>0</v>
      </c>
      <c r="AF137" s="53">
        <f t="shared" si="78"/>
        <v>0</v>
      </c>
      <c r="AG137" s="53">
        <f t="shared" si="79"/>
        <v>0</v>
      </c>
      <c r="AH137" s="53">
        <f t="shared" si="80"/>
        <v>0</v>
      </c>
      <c r="AI137" s="53">
        <f t="shared" si="81"/>
        <v>0</v>
      </c>
      <c r="AJ137" s="53">
        <f t="shared" si="82"/>
        <v>0</v>
      </c>
      <c r="AK137" s="53">
        <f t="shared" si="83"/>
        <v>0</v>
      </c>
      <c r="AL137" s="53">
        <f t="shared" si="84"/>
        <v>0</v>
      </c>
      <c r="AM137" s="53">
        <f t="shared" si="85"/>
        <v>0</v>
      </c>
      <c r="AN137" s="53">
        <f t="shared" si="86"/>
        <v>0</v>
      </c>
      <c r="AO137" s="53">
        <f t="shared" si="87"/>
        <v>0</v>
      </c>
      <c r="AP137" s="53">
        <f t="shared" si="88"/>
        <v>0</v>
      </c>
      <c r="AQ137" s="53">
        <f t="shared" si="89"/>
        <v>0</v>
      </c>
      <c r="AR137" s="53">
        <f t="shared" si="90"/>
        <v>0</v>
      </c>
      <c r="AS137" s="53">
        <f t="shared" si="91"/>
        <v>0</v>
      </c>
    </row>
    <row r="138" spans="1:45">
      <c r="A138" s="53">
        <v>38</v>
      </c>
      <c r="B138" s="53"/>
      <c r="C138" s="53"/>
      <c r="D138" s="55"/>
      <c r="E138" s="55"/>
      <c r="F138" s="55"/>
      <c r="G138" s="55"/>
      <c r="H138" s="53"/>
      <c r="I138" s="53"/>
      <c r="J138" s="53"/>
      <c r="K138" s="53"/>
      <c r="L138" s="53"/>
      <c r="M138" s="53"/>
      <c r="N138" s="53"/>
      <c r="O138" s="53"/>
      <c r="P138" s="53"/>
      <c r="Q138" s="53"/>
      <c r="R138" s="53"/>
      <c r="S138" s="53"/>
      <c r="T138" s="53"/>
      <c r="U138" s="53"/>
      <c r="V138" s="53"/>
      <c r="W138" s="53"/>
      <c r="X138" s="53"/>
      <c r="Y138" s="53">
        <f t="shared" si="74"/>
        <v>0</v>
      </c>
      <c r="Z138" s="53">
        <f t="shared" si="75"/>
        <v>0</v>
      </c>
      <c r="AA138" s="53">
        <f t="shared" si="76"/>
        <v>0</v>
      </c>
      <c r="AB138" s="53" t="s">
        <v>260</v>
      </c>
      <c r="AC138" s="53" t="s">
        <v>293</v>
      </c>
      <c r="AD138" s="53"/>
      <c r="AE138" s="53">
        <f t="shared" si="77"/>
        <v>0</v>
      </c>
      <c r="AF138" s="53">
        <f t="shared" si="78"/>
        <v>0</v>
      </c>
      <c r="AG138" s="53">
        <f t="shared" si="79"/>
        <v>0</v>
      </c>
      <c r="AH138" s="53">
        <f t="shared" si="80"/>
        <v>0</v>
      </c>
      <c r="AI138" s="53">
        <f t="shared" si="81"/>
        <v>0</v>
      </c>
      <c r="AJ138" s="53">
        <f t="shared" si="82"/>
        <v>0</v>
      </c>
      <c r="AK138" s="53">
        <f t="shared" si="83"/>
        <v>0</v>
      </c>
      <c r="AL138" s="53">
        <f t="shared" si="84"/>
        <v>0</v>
      </c>
      <c r="AM138" s="53">
        <f t="shared" si="85"/>
        <v>0</v>
      </c>
      <c r="AN138" s="53">
        <f t="shared" si="86"/>
        <v>0</v>
      </c>
      <c r="AO138" s="53">
        <f t="shared" si="87"/>
        <v>0</v>
      </c>
      <c r="AP138" s="53">
        <f t="shared" si="88"/>
        <v>0</v>
      </c>
      <c r="AQ138" s="53">
        <f t="shared" si="89"/>
        <v>0</v>
      </c>
      <c r="AR138" s="53">
        <f t="shared" si="90"/>
        <v>0</v>
      </c>
      <c r="AS138" s="53">
        <f t="shared" si="91"/>
        <v>0</v>
      </c>
    </row>
    <row r="139" spans="1:45">
      <c r="A139" s="53">
        <v>38</v>
      </c>
      <c r="B139" s="53"/>
      <c r="C139" s="53"/>
      <c r="D139" s="55"/>
      <c r="E139" s="55"/>
      <c r="F139" s="55"/>
      <c r="G139" s="55"/>
      <c r="H139" s="53"/>
      <c r="I139" s="53"/>
      <c r="J139" s="53"/>
      <c r="K139" s="53"/>
      <c r="L139" s="53"/>
      <c r="M139" s="53"/>
      <c r="N139" s="53"/>
      <c r="O139" s="53"/>
      <c r="P139" s="53"/>
      <c r="Q139" s="53"/>
      <c r="R139" s="53"/>
      <c r="S139" s="53"/>
      <c r="T139" s="53"/>
      <c r="U139" s="53"/>
      <c r="V139" s="53"/>
      <c r="W139" s="53"/>
      <c r="X139" s="53"/>
      <c r="Y139" s="53">
        <f t="shared" si="74"/>
        <v>0</v>
      </c>
      <c r="Z139" s="53">
        <f t="shared" si="75"/>
        <v>0</v>
      </c>
      <c r="AA139" s="53">
        <f t="shared" si="76"/>
        <v>0</v>
      </c>
      <c r="AB139" s="53" t="s">
        <v>260</v>
      </c>
      <c r="AC139" s="53" t="s">
        <v>294</v>
      </c>
      <c r="AD139" s="53"/>
      <c r="AE139" s="53">
        <f t="shared" si="77"/>
        <v>0</v>
      </c>
      <c r="AF139" s="53">
        <f t="shared" si="78"/>
        <v>0</v>
      </c>
      <c r="AG139" s="53">
        <f t="shared" si="79"/>
        <v>0</v>
      </c>
      <c r="AH139" s="53">
        <f t="shared" si="80"/>
        <v>0</v>
      </c>
      <c r="AI139" s="53">
        <f t="shared" si="81"/>
        <v>0</v>
      </c>
      <c r="AJ139" s="53">
        <f t="shared" si="82"/>
        <v>0</v>
      </c>
      <c r="AK139" s="53">
        <f t="shared" si="83"/>
        <v>0</v>
      </c>
      <c r="AL139" s="53">
        <f t="shared" si="84"/>
        <v>0</v>
      </c>
      <c r="AM139" s="53">
        <f t="shared" si="85"/>
        <v>0</v>
      </c>
      <c r="AN139" s="53">
        <f t="shared" si="86"/>
        <v>0</v>
      </c>
      <c r="AO139" s="53">
        <f t="shared" si="87"/>
        <v>0</v>
      </c>
      <c r="AP139" s="53">
        <f t="shared" si="88"/>
        <v>0</v>
      </c>
      <c r="AQ139" s="53">
        <f t="shared" si="89"/>
        <v>0</v>
      </c>
      <c r="AR139" s="53">
        <f t="shared" si="90"/>
        <v>0</v>
      </c>
      <c r="AS139" s="53">
        <f t="shared" si="91"/>
        <v>0</v>
      </c>
    </row>
    <row r="140" spans="1:45">
      <c r="A140" s="53">
        <v>38</v>
      </c>
      <c r="B140" s="53"/>
      <c r="C140" s="53"/>
      <c r="D140" s="55"/>
      <c r="E140" s="55"/>
      <c r="F140" s="55"/>
      <c r="G140" s="55"/>
      <c r="H140" s="53"/>
      <c r="I140" s="53"/>
      <c r="J140" s="53"/>
      <c r="K140" s="53"/>
      <c r="L140" s="53"/>
      <c r="M140" s="53"/>
      <c r="N140" s="53"/>
      <c r="O140" s="53"/>
      <c r="P140" s="53"/>
      <c r="Q140" s="53"/>
      <c r="R140" s="53"/>
      <c r="S140" s="53"/>
      <c r="T140" s="53"/>
      <c r="U140" s="53"/>
      <c r="V140" s="53"/>
      <c r="W140" s="53"/>
      <c r="X140" s="53"/>
      <c r="Y140" s="53">
        <f t="shared" si="74"/>
        <v>0</v>
      </c>
      <c r="Z140" s="53">
        <f t="shared" si="75"/>
        <v>0</v>
      </c>
      <c r="AA140" s="53">
        <f t="shared" si="76"/>
        <v>0</v>
      </c>
      <c r="AB140" s="53" t="s">
        <v>260</v>
      </c>
      <c r="AC140" s="53" t="s">
        <v>295</v>
      </c>
      <c r="AD140" s="53"/>
      <c r="AE140" s="53">
        <f t="shared" si="77"/>
        <v>0</v>
      </c>
      <c r="AF140" s="53">
        <f t="shared" si="78"/>
        <v>0</v>
      </c>
      <c r="AG140" s="53">
        <f t="shared" si="79"/>
        <v>0</v>
      </c>
      <c r="AH140" s="53">
        <f t="shared" si="80"/>
        <v>0</v>
      </c>
      <c r="AI140" s="53">
        <f t="shared" si="81"/>
        <v>0</v>
      </c>
      <c r="AJ140" s="53">
        <f t="shared" si="82"/>
        <v>0</v>
      </c>
      <c r="AK140" s="53">
        <f t="shared" si="83"/>
        <v>0</v>
      </c>
      <c r="AL140" s="53">
        <f t="shared" si="84"/>
        <v>0</v>
      </c>
      <c r="AM140" s="53">
        <f t="shared" si="85"/>
        <v>0</v>
      </c>
      <c r="AN140" s="53">
        <f t="shared" si="86"/>
        <v>0</v>
      </c>
      <c r="AO140" s="53">
        <f t="shared" si="87"/>
        <v>0</v>
      </c>
      <c r="AP140" s="53">
        <f t="shared" si="88"/>
        <v>0</v>
      </c>
      <c r="AQ140" s="53">
        <f t="shared" si="89"/>
        <v>0</v>
      </c>
      <c r="AR140" s="53">
        <f t="shared" si="90"/>
        <v>0</v>
      </c>
      <c r="AS140" s="53">
        <f t="shared" si="91"/>
        <v>0</v>
      </c>
    </row>
    <row r="141" spans="1:45">
      <c r="A141" s="53">
        <v>38</v>
      </c>
      <c r="B141" s="53"/>
      <c r="C141" s="53"/>
      <c r="D141" s="55"/>
      <c r="E141" s="55"/>
      <c r="F141" s="55"/>
      <c r="G141" s="55"/>
      <c r="H141" s="53"/>
      <c r="I141" s="53"/>
      <c r="J141" s="53"/>
      <c r="K141" s="53"/>
      <c r="L141" s="53"/>
      <c r="M141" s="53"/>
      <c r="N141" s="53"/>
      <c r="O141" s="53"/>
      <c r="P141" s="53"/>
      <c r="Q141" s="53"/>
      <c r="R141" s="53"/>
      <c r="S141" s="53"/>
      <c r="T141" s="53"/>
      <c r="U141" s="53"/>
      <c r="V141" s="53"/>
      <c r="W141" s="53"/>
      <c r="X141" s="53"/>
      <c r="Y141" s="53">
        <f t="shared" si="74"/>
        <v>0</v>
      </c>
      <c r="Z141" s="53">
        <f t="shared" si="75"/>
        <v>0</v>
      </c>
      <c r="AA141" s="53">
        <f t="shared" si="76"/>
        <v>0</v>
      </c>
      <c r="AB141" s="53" t="s">
        <v>260</v>
      </c>
      <c r="AC141" s="53" t="s">
        <v>296</v>
      </c>
      <c r="AD141" s="53"/>
      <c r="AE141" s="53">
        <f t="shared" si="77"/>
        <v>0</v>
      </c>
      <c r="AF141" s="53">
        <f t="shared" si="78"/>
        <v>0</v>
      </c>
      <c r="AG141" s="53">
        <f t="shared" si="79"/>
        <v>0</v>
      </c>
      <c r="AH141" s="53">
        <f t="shared" si="80"/>
        <v>0</v>
      </c>
      <c r="AI141" s="53">
        <f t="shared" si="81"/>
        <v>0</v>
      </c>
      <c r="AJ141" s="53">
        <f t="shared" si="82"/>
        <v>0</v>
      </c>
      <c r="AK141" s="53">
        <f t="shared" si="83"/>
        <v>0</v>
      </c>
      <c r="AL141" s="53">
        <f t="shared" si="84"/>
        <v>0</v>
      </c>
      <c r="AM141" s="53">
        <f t="shared" si="85"/>
        <v>0</v>
      </c>
      <c r="AN141" s="53">
        <f t="shared" si="86"/>
        <v>0</v>
      </c>
      <c r="AO141" s="53">
        <f t="shared" si="87"/>
        <v>0</v>
      </c>
      <c r="AP141" s="53">
        <f t="shared" si="88"/>
        <v>0</v>
      </c>
      <c r="AQ141" s="53">
        <f t="shared" si="89"/>
        <v>0</v>
      </c>
      <c r="AR141" s="53">
        <f t="shared" si="90"/>
        <v>0</v>
      </c>
      <c r="AS141" s="53">
        <f t="shared" si="91"/>
        <v>0</v>
      </c>
    </row>
    <row r="142" spans="1:45">
      <c r="A142" s="53">
        <v>38</v>
      </c>
      <c r="B142" s="53"/>
      <c r="C142" s="53"/>
      <c r="D142" s="55"/>
      <c r="E142" s="55"/>
      <c r="F142" s="55"/>
      <c r="G142" s="55"/>
      <c r="H142" s="53"/>
      <c r="I142" s="53"/>
      <c r="J142" s="53"/>
      <c r="K142" s="53"/>
      <c r="L142" s="53"/>
      <c r="M142" s="53"/>
      <c r="N142" s="53"/>
      <c r="O142" s="53"/>
      <c r="P142" s="53"/>
      <c r="Q142" s="53"/>
      <c r="R142" s="53"/>
      <c r="S142" s="53"/>
      <c r="T142" s="53"/>
      <c r="U142" s="53"/>
      <c r="V142" s="53"/>
      <c r="W142" s="53"/>
      <c r="X142" s="53"/>
      <c r="Y142" s="53">
        <f t="shared" si="74"/>
        <v>0</v>
      </c>
      <c r="Z142" s="53">
        <f t="shared" si="75"/>
        <v>0</v>
      </c>
      <c r="AA142" s="53">
        <f t="shared" si="76"/>
        <v>0</v>
      </c>
      <c r="AB142" s="53" t="s">
        <v>260</v>
      </c>
      <c r="AC142" s="53" t="s">
        <v>297</v>
      </c>
      <c r="AD142" s="53"/>
      <c r="AE142" s="53">
        <f t="shared" si="77"/>
        <v>0</v>
      </c>
      <c r="AF142" s="53">
        <f t="shared" si="78"/>
        <v>0</v>
      </c>
      <c r="AG142" s="53">
        <f t="shared" si="79"/>
        <v>0</v>
      </c>
      <c r="AH142" s="53">
        <f t="shared" si="80"/>
        <v>0</v>
      </c>
      <c r="AI142" s="53">
        <f t="shared" si="81"/>
        <v>0</v>
      </c>
      <c r="AJ142" s="53">
        <f t="shared" si="82"/>
        <v>0</v>
      </c>
      <c r="AK142" s="53">
        <f t="shared" si="83"/>
        <v>0</v>
      </c>
      <c r="AL142" s="53">
        <f t="shared" si="84"/>
        <v>0</v>
      </c>
      <c r="AM142" s="53">
        <f t="shared" si="85"/>
        <v>0</v>
      </c>
      <c r="AN142" s="53">
        <f t="shared" si="86"/>
        <v>0</v>
      </c>
      <c r="AO142" s="53">
        <f t="shared" si="87"/>
        <v>0</v>
      </c>
      <c r="AP142" s="53">
        <f t="shared" si="88"/>
        <v>0</v>
      </c>
      <c r="AQ142" s="53">
        <f t="shared" si="89"/>
        <v>0</v>
      </c>
      <c r="AR142" s="53">
        <f t="shared" si="90"/>
        <v>0</v>
      </c>
      <c r="AS142" s="53">
        <f t="shared" si="91"/>
        <v>0</v>
      </c>
    </row>
    <row r="143" spans="1:45">
      <c r="A143" s="53">
        <v>38</v>
      </c>
      <c r="B143" s="53"/>
      <c r="C143" s="53"/>
      <c r="D143" s="55"/>
      <c r="E143" s="55"/>
      <c r="F143" s="55"/>
      <c r="G143" s="55"/>
      <c r="H143" s="53"/>
      <c r="I143" s="53"/>
      <c r="J143" s="53"/>
      <c r="K143" s="53"/>
      <c r="L143" s="53"/>
      <c r="M143" s="53"/>
      <c r="N143" s="53"/>
      <c r="O143" s="53"/>
      <c r="P143" s="53"/>
      <c r="Q143" s="53"/>
      <c r="R143" s="53"/>
      <c r="S143" s="53"/>
      <c r="T143" s="53"/>
      <c r="U143" s="53"/>
      <c r="V143" s="53"/>
      <c r="W143" s="53"/>
      <c r="X143" s="53"/>
      <c r="Y143" s="53">
        <f t="shared" si="74"/>
        <v>0</v>
      </c>
      <c r="Z143" s="53">
        <f t="shared" si="75"/>
        <v>0</v>
      </c>
      <c r="AA143" s="53">
        <f t="shared" si="76"/>
        <v>0</v>
      </c>
      <c r="AB143" s="53" t="s">
        <v>260</v>
      </c>
      <c r="AC143" s="53" t="s">
        <v>298</v>
      </c>
      <c r="AD143" s="53"/>
      <c r="AE143" s="53">
        <f t="shared" si="77"/>
        <v>0</v>
      </c>
      <c r="AF143" s="53">
        <f t="shared" si="78"/>
        <v>0</v>
      </c>
      <c r="AG143" s="53">
        <f t="shared" si="79"/>
        <v>0</v>
      </c>
      <c r="AH143" s="53">
        <f t="shared" si="80"/>
        <v>0</v>
      </c>
      <c r="AI143" s="53">
        <f t="shared" si="81"/>
        <v>0</v>
      </c>
      <c r="AJ143" s="53">
        <f t="shared" si="82"/>
        <v>0</v>
      </c>
      <c r="AK143" s="53">
        <f t="shared" si="83"/>
        <v>0</v>
      </c>
      <c r="AL143" s="53">
        <f t="shared" si="84"/>
        <v>0</v>
      </c>
      <c r="AM143" s="53">
        <f t="shared" si="85"/>
        <v>0</v>
      </c>
      <c r="AN143" s="53">
        <f t="shared" si="86"/>
        <v>0</v>
      </c>
      <c r="AO143" s="53">
        <f t="shared" si="87"/>
        <v>0</v>
      </c>
      <c r="AP143" s="53">
        <f t="shared" si="88"/>
        <v>0</v>
      </c>
      <c r="AQ143" s="53">
        <f t="shared" si="89"/>
        <v>0</v>
      </c>
      <c r="AR143" s="53">
        <f t="shared" si="90"/>
        <v>0</v>
      </c>
      <c r="AS143" s="53">
        <f t="shared" si="91"/>
        <v>0</v>
      </c>
    </row>
    <row r="144" spans="1:45">
      <c r="A144" s="53">
        <v>38</v>
      </c>
      <c r="B144" s="53"/>
      <c r="C144" s="53"/>
      <c r="D144" s="55"/>
      <c r="E144" s="55"/>
      <c r="F144" s="55"/>
      <c r="G144" s="55"/>
      <c r="H144" s="53"/>
      <c r="I144" s="53"/>
      <c r="J144" s="53"/>
      <c r="K144" s="53"/>
      <c r="L144" s="53"/>
      <c r="M144" s="53"/>
      <c r="N144" s="53"/>
      <c r="O144" s="53"/>
      <c r="P144" s="53"/>
      <c r="Q144" s="53"/>
      <c r="R144" s="53"/>
      <c r="S144" s="53"/>
      <c r="T144" s="53"/>
      <c r="U144" s="53"/>
      <c r="V144" s="53"/>
      <c r="W144" s="53"/>
      <c r="X144" s="53"/>
      <c r="Y144" s="53">
        <f t="shared" si="74"/>
        <v>0</v>
      </c>
      <c r="Z144" s="53">
        <f t="shared" si="75"/>
        <v>0</v>
      </c>
      <c r="AA144" s="53">
        <f t="shared" si="76"/>
        <v>0</v>
      </c>
      <c r="AB144" s="53" t="s">
        <v>260</v>
      </c>
      <c r="AC144" s="53" t="s">
        <v>299</v>
      </c>
      <c r="AD144" s="53"/>
      <c r="AE144" s="53">
        <f t="shared" si="77"/>
        <v>0</v>
      </c>
      <c r="AF144" s="53">
        <f t="shared" si="78"/>
        <v>0</v>
      </c>
      <c r="AG144" s="53">
        <f t="shared" si="79"/>
        <v>0</v>
      </c>
      <c r="AH144" s="53">
        <f t="shared" si="80"/>
        <v>0</v>
      </c>
      <c r="AI144" s="53">
        <f t="shared" si="81"/>
        <v>0</v>
      </c>
      <c r="AJ144" s="53">
        <f t="shared" si="82"/>
        <v>0</v>
      </c>
      <c r="AK144" s="53">
        <f t="shared" si="83"/>
        <v>0</v>
      </c>
      <c r="AL144" s="53">
        <f t="shared" si="84"/>
        <v>0</v>
      </c>
      <c r="AM144" s="53">
        <f t="shared" si="85"/>
        <v>0</v>
      </c>
      <c r="AN144" s="53">
        <f t="shared" si="86"/>
        <v>0</v>
      </c>
      <c r="AO144" s="53">
        <f t="shared" si="87"/>
        <v>0</v>
      </c>
      <c r="AP144" s="53">
        <f t="shared" si="88"/>
        <v>0</v>
      </c>
      <c r="AQ144" s="53">
        <f t="shared" si="89"/>
        <v>0</v>
      </c>
      <c r="AR144" s="53">
        <f t="shared" si="90"/>
        <v>0</v>
      </c>
      <c r="AS144" s="53">
        <f t="shared" si="91"/>
        <v>0</v>
      </c>
    </row>
    <row r="145" spans="1:45">
      <c r="A145" s="53">
        <v>38</v>
      </c>
      <c r="B145" s="53"/>
      <c r="C145" s="53"/>
      <c r="D145" s="55"/>
      <c r="E145" s="55"/>
      <c r="F145" s="55"/>
      <c r="G145" s="55"/>
      <c r="H145" s="53"/>
      <c r="I145" s="53"/>
      <c r="J145" s="53"/>
      <c r="K145" s="53"/>
      <c r="L145" s="53"/>
      <c r="M145" s="53"/>
      <c r="N145" s="53"/>
      <c r="O145" s="53"/>
      <c r="P145" s="53"/>
      <c r="Q145" s="53"/>
      <c r="R145" s="53"/>
      <c r="S145" s="53"/>
      <c r="T145" s="53"/>
      <c r="U145" s="53"/>
      <c r="V145" s="53"/>
      <c r="W145" s="53"/>
      <c r="X145" s="53"/>
      <c r="Y145" s="53">
        <f t="shared" si="74"/>
        <v>0</v>
      </c>
      <c r="Z145" s="53">
        <f t="shared" si="75"/>
        <v>0</v>
      </c>
      <c r="AA145" s="53">
        <f t="shared" si="76"/>
        <v>0</v>
      </c>
      <c r="AB145" s="53" t="s">
        <v>260</v>
      </c>
      <c r="AC145" s="53" t="s">
        <v>300</v>
      </c>
      <c r="AD145" s="53"/>
      <c r="AE145" s="53">
        <f t="shared" si="77"/>
        <v>0</v>
      </c>
      <c r="AF145" s="53">
        <f t="shared" si="78"/>
        <v>0</v>
      </c>
      <c r="AG145" s="53">
        <f t="shared" si="79"/>
        <v>0</v>
      </c>
      <c r="AH145" s="53">
        <f t="shared" si="80"/>
        <v>0</v>
      </c>
      <c r="AI145" s="53">
        <f t="shared" si="81"/>
        <v>0</v>
      </c>
      <c r="AJ145" s="53">
        <f t="shared" si="82"/>
        <v>0</v>
      </c>
      <c r="AK145" s="53">
        <f t="shared" si="83"/>
        <v>0</v>
      </c>
      <c r="AL145" s="53">
        <f t="shared" si="84"/>
        <v>0</v>
      </c>
      <c r="AM145" s="53">
        <f t="shared" si="85"/>
        <v>0</v>
      </c>
      <c r="AN145" s="53">
        <f t="shared" si="86"/>
        <v>0</v>
      </c>
      <c r="AO145" s="53">
        <f t="shared" si="87"/>
        <v>0</v>
      </c>
      <c r="AP145" s="53">
        <f t="shared" si="88"/>
        <v>0</v>
      </c>
      <c r="AQ145" s="53">
        <f t="shared" si="89"/>
        <v>0</v>
      </c>
      <c r="AR145" s="53">
        <f t="shared" si="90"/>
        <v>0</v>
      </c>
      <c r="AS145" s="53">
        <f t="shared" si="91"/>
        <v>0</v>
      </c>
    </row>
    <row r="146" spans="1:45">
      <c r="A146" s="53">
        <v>38</v>
      </c>
      <c r="B146" s="53"/>
      <c r="C146" s="53"/>
      <c r="D146" s="55"/>
      <c r="E146" s="55"/>
      <c r="F146" s="55"/>
      <c r="G146" s="55"/>
      <c r="H146" s="53"/>
      <c r="I146" s="53"/>
      <c r="J146" s="53"/>
      <c r="K146" s="53"/>
      <c r="L146" s="53"/>
      <c r="M146" s="53"/>
      <c r="N146" s="53"/>
      <c r="O146" s="53"/>
      <c r="P146" s="53"/>
      <c r="Q146" s="53"/>
      <c r="R146" s="53"/>
      <c r="S146" s="53"/>
      <c r="T146" s="53"/>
      <c r="U146" s="53"/>
      <c r="V146" s="53"/>
      <c r="W146" s="53"/>
      <c r="X146" s="53"/>
      <c r="Y146" s="53">
        <f t="shared" ref="Y146:Y163" si="92">IF(UPPER(TRIM($W146&amp;""))="CANCELLED",0,IFERROR(0+$M146,0))</f>
        <v>0</v>
      </c>
      <c r="Z146" s="53">
        <f t="shared" ref="Z146:Z163" si="93">IF(UPPER(TRIM($W146&amp;""))="CANCELLED",0,IFERROR((IFERROR(0+$M146,0))*IF(IFERROR(0+TRIM($N146&amp;""),0)=4,2,IF(IFERROR(0+TRIM($N146&amp;""),0)=2,1,0)),0))</f>
        <v>0</v>
      </c>
      <c r="AA146" s="53">
        <f t="shared" ref="AA146:AA163" si="94">IF(UPPER(TRIM($W146&amp;""))="CANCELLED",0,IFERROR(0+$P146,0))</f>
        <v>0</v>
      </c>
      <c r="AB146" s="53" t="s">
        <v>260</v>
      </c>
      <c r="AC146" s="53" t="s">
        <v>301</v>
      </c>
      <c r="AD146" s="53"/>
      <c r="AE146" s="53">
        <f t="shared" ref="AE146:AE163" si="95">IF(UPPER(TRIM($W146&amp;""))="CANCELLED",0,IF(UPPER(TRIM($AD146&amp;""))="EMPTY",0,IFERROR(0+$M146,0)))</f>
        <v>0</v>
      </c>
      <c r="AF146" s="53">
        <f t="shared" ref="AF146:AF163" si="96">IF(UPPER(TRIM($W146&amp;""))="CANCELLED",0,IF(UPPER(TRIM($AD146&amp;""))="EMPTY",IFERROR(0+$M146,0),0))</f>
        <v>0</v>
      </c>
      <c r="AG146" s="53">
        <f t="shared" ref="AG146:AG163" si="97">AE146+AF146</f>
        <v>0</v>
      </c>
      <c r="AH146" s="53">
        <f t="shared" ref="AH146:AH163" si="98">IF(UPPER(TRIM($W146&amp;""))="CANCELLED",0,IF(AND(NOT(UPPER(TRIM($AD146&amp;""))="EMPTY"),IFERROR(0+TRIM($N146&amp;""),0)=2),IFERROR(0+$M146,0),0))</f>
        <v>0</v>
      </c>
      <c r="AI146" s="53">
        <f t="shared" ref="AI146:AI163" si="99">IF(UPPER(TRIM($W146&amp;""))="CANCELLED",0,IF(AND(UPPER(TRIM($AD146&amp;""))="EMPTY",IFERROR(0+TRIM($N146&amp;""),0)=2),IFERROR(0+$M146,0),0))</f>
        <v>0</v>
      </c>
      <c r="AJ146" s="53">
        <f t="shared" ref="AJ146:AJ163" si="100">AH146+AI146</f>
        <v>0</v>
      </c>
      <c r="AK146" s="53">
        <f t="shared" ref="AK146:AK163" si="101">IF(UPPER(TRIM($W146&amp;""))="CANCELLED",0,IF(AND(NOT(UPPER(TRIM($AD146&amp;""))="EMPTY"),IFERROR(0+TRIM($N146&amp;""),0)=4),IFERROR(0+$M146,0),0))</f>
        <v>0</v>
      </c>
      <c r="AL146" s="53">
        <f t="shared" ref="AL146:AL163" si="102">IF(UPPER(TRIM($W146&amp;""))="CANCELLED",0,IF(AND(UPPER(TRIM($AD146&amp;""))="EMPTY",IFERROR(0+TRIM($N146&amp;""),0)=4),IFERROR(0+$M146,0),0))</f>
        <v>0</v>
      </c>
      <c r="AM146" s="53">
        <f t="shared" ref="AM146:AM163" si="103">AK146+AL146</f>
        <v>0</v>
      </c>
      <c r="AN146" s="53">
        <f t="shared" ref="AN146:AN163" si="104">IF(UPPER(TRIM($W146&amp;""))="CANCELLED",0,IF(UPPER(TRIM($AD146&amp;""))="EMPTY",0,IFERROR((IFERROR(0+$M146,0))*IF(IFERROR(0+TRIM($N146&amp;""),0)=4,2,IF(IFERROR(0+TRIM($N146&amp;""),0)=2,1,0)),0)))</f>
        <v>0</v>
      </c>
      <c r="AO146" s="53">
        <f t="shared" ref="AO146:AO163" si="105">IF(UPPER(TRIM($W146&amp;""))="CANCELLED",0,IF(UPPER(TRIM($AD146&amp;""))="EMPTY",IFERROR((IFERROR(0+$M146,0))*IF(IFERROR(0+TRIM($N146&amp;""),0)=4,2,IF(IFERROR(0+TRIM($N146&amp;""),0)=2,1,0)),0),0))</f>
        <v>0</v>
      </c>
      <c r="AP146" s="53">
        <f t="shared" ref="AP146:AP163" si="106">AN146+AO146</f>
        <v>0</v>
      </c>
      <c r="AQ146" s="53">
        <f t="shared" ref="AQ146:AQ163" si="107">IF(UPPER(TRIM($W146&amp;""))="CANCELLED",0,IF(UPPER(TRIM($AD146&amp;""))="EMPTY",0,IFERROR(0+$P146,0)))</f>
        <v>0</v>
      </c>
      <c r="AR146" s="53">
        <f t="shared" ref="AR146:AR163" si="108">IF(UPPER(TRIM($W146&amp;""))="CANCELLED",0,IF(UPPER(TRIM($AD146&amp;""))="EMPTY",IFERROR(0+$P146,0),0))</f>
        <v>0</v>
      </c>
      <c r="AS146" s="53">
        <f t="shared" ref="AS146:AS163" si="109">AQ146+AR146</f>
        <v>0</v>
      </c>
    </row>
    <row r="147" spans="1:45">
      <c r="A147" s="53">
        <v>38</v>
      </c>
      <c r="B147" s="53"/>
      <c r="C147" s="53"/>
      <c r="D147" s="55"/>
      <c r="E147" s="55"/>
      <c r="F147" s="55"/>
      <c r="G147" s="55"/>
      <c r="H147" s="53"/>
      <c r="I147" s="53"/>
      <c r="J147" s="53"/>
      <c r="K147" s="53"/>
      <c r="L147" s="53"/>
      <c r="M147" s="53"/>
      <c r="N147" s="53"/>
      <c r="O147" s="53"/>
      <c r="P147" s="53"/>
      <c r="Q147" s="53"/>
      <c r="R147" s="53"/>
      <c r="S147" s="53"/>
      <c r="T147" s="53"/>
      <c r="U147" s="53"/>
      <c r="V147" s="53"/>
      <c r="W147" s="53"/>
      <c r="X147" s="53"/>
      <c r="Y147" s="53">
        <f t="shared" si="92"/>
        <v>0</v>
      </c>
      <c r="Z147" s="53">
        <f t="shared" si="93"/>
        <v>0</v>
      </c>
      <c r="AA147" s="53">
        <f t="shared" si="94"/>
        <v>0</v>
      </c>
      <c r="AB147" s="53" t="s">
        <v>260</v>
      </c>
      <c r="AC147" s="53" t="s">
        <v>302</v>
      </c>
      <c r="AD147" s="53"/>
      <c r="AE147" s="53">
        <f t="shared" si="95"/>
        <v>0</v>
      </c>
      <c r="AF147" s="53">
        <f t="shared" si="96"/>
        <v>0</v>
      </c>
      <c r="AG147" s="53">
        <f t="shared" si="97"/>
        <v>0</v>
      </c>
      <c r="AH147" s="53">
        <f t="shared" si="98"/>
        <v>0</v>
      </c>
      <c r="AI147" s="53">
        <f t="shared" si="99"/>
        <v>0</v>
      </c>
      <c r="AJ147" s="53">
        <f t="shared" si="100"/>
        <v>0</v>
      </c>
      <c r="AK147" s="53">
        <f t="shared" si="101"/>
        <v>0</v>
      </c>
      <c r="AL147" s="53">
        <f t="shared" si="102"/>
        <v>0</v>
      </c>
      <c r="AM147" s="53">
        <f t="shared" si="103"/>
        <v>0</v>
      </c>
      <c r="AN147" s="53">
        <f t="shared" si="104"/>
        <v>0</v>
      </c>
      <c r="AO147" s="53">
        <f t="shared" si="105"/>
        <v>0</v>
      </c>
      <c r="AP147" s="53">
        <f t="shared" si="106"/>
        <v>0</v>
      </c>
      <c r="AQ147" s="53">
        <f t="shared" si="107"/>
        <v>0</v>
      </c>
      <c r="AR147" s="53">
        <f t="shared" si="108"/>
        <v>0</v>
      </c>
      <c r="AS147" s="53">
        <f t="shared" si="109"/>
        <v>0</v>
      </c>
    </row>
    <row r="148" spans="1:45">
      <c r="A148" s="53">
        <v>38</v>
      </c>
      <c r="B148" s="53"/>
      <c r="C148" s="53"/>
      <c r="D148" s="55"/>
      <c r="E148" s="55"/>
      <c r="F148" s="55"/>
      <c r="G148" s="55"/>
      <c r="H148" s="53"/>
      <c r="I148" s="53"/>
      <c r="J148" s="53"/>
      <c r="K148" s="53"/>
      <c r="L148" s="53"/>
      <c r="M148" s="53"/>
      <c r="N148" s="53"/>
      <c r="O148" s="53"/>
      <c r="P148" s="53"/>
      <c r="Q148" s="53"/>
      <c r="R148" s="53"/>
      <c r="S148" s="53"/>
      <c r="T148" s="53"/>
      <c r="U148" s="53"/>
      <c r="V148" s="53"/>
      <c r="W148" s="53"/>
      <c r="X148" s="53"/>
      <c r="Y148" s="53">
        <f t="shared" si="92"/>
        <v>0</v>
      </c>
      <c r="Z148" s="53">
        <f t="shared" si="93"/>
        <v>0</v>
      </c>
      <c r="AA148" s="53">
        <f t="shared" si="94"/>
        <v>0</v>
      </c>
      <c r="AB148" s="53" t="s">
        <v>260</v>
      </c>
      <c r="AC148" s="53" t="s">
        <v>303</v>
      </c>
      <c r="AD148" s="53"/>
      <c r="AE148" s="53">
        <f t="shared" si="95"/>
        <v>0</v>
      </c>
      <c r="AF148" s="53">
        <f t="shared" si="96"/>
        <v>0</v>
      </c>
      <c r="AG148" s="53">
        <f t="shared" si="97"/>
        <v>0</v>
      </c>
      <c r="AH148" s="53">
        <f t="shared" si="98"/>
        <v>0</v>
      </c>
      <c r="AI148" s="53">
        <f t="shared" si="99"/>
        <v>0</v>
      </c>
      <c r="AJ148" s="53">
        <f t="shared" si="100"/>
        <v>0</v>
      </c>
      <c r="AK148" s="53">
        <f t="shared" si="101"/>
        <v>0</v>
      </c>
      <c r="AL148" s="53">
        <f t="shared" si="102"/>
        <v>0</v>
      </c>
      <c r="AM148" s="53">
        <f t="shared" si="103"/>
        <v>0</v>
      </c>
      <c r="AN148" s="53">
        <f t="shared" si="104"/>
        <v>0</v>
      </c>
      <c r="AO148" s="53">
        <f t="shared" si="105"/>
        <v>0</v>
      </c>
      <c r="AP148" s="53">
        <f t="shared" si="106"/>
        <v>0</v>
      </c>
      <c r="AQ148" s="53">
        <f t="shared" si="107"/>
        <v>0</v>
      </c>
      <c r="AR148" s="53">
        <f t="shared" si="108"/>
        <v>0</v>
      </c>
      <c r="AS148" s="53">
        <f t="shared" si="109"/>
        <v>0</v>
      </c>
    </row>
    <row r="149" spans="1:45">
      <c r="A149" s="53">
        <v>38</v>
      </c>
      <c r="B149" s="53"/>
      <c r="C149" s="53"/>
      <c r="D149" s="55"/>
      <c r="E149" s="55"/>
      <c r="F149" s="55"/>
      <c r="G149" s="55"/>
      <c r="H149" s="53"/>
      <c r="I149" s="53"/>
      <c r="J149" s="53"/>
      <c r="K149" s="53"/>
      <c r="L149" s="53"/>
      <c r="M149" s="53"/>
      <c r="N149" s="53"/>
      <c r="O149" s="53"/>
      <c r="P149" s="53"/>
      <c r="Q149" s="53"/>
      <c r="R149" s="53"/>
      <c r="S149" s="53"/>
      <c r="T149" s="53"/>
      <c r="U149" s="53"/>
      <c r="V149" s="53"/>
      <c r="W149" s="53"/>
      <c r="X149" s="53"/>
      <c r="Y149" s="53">
        <f t="shared" si="92"/>
        <v>0</v>
      </c>
      <c r="Z149" s="53">
        <f t="shared" si="93"/>
        <v>0</v>
      </c>
      <c r="AA149" s="53">
        <f t="shared" si="94"/>
        <v>0</v>
      </c>
      <c r="AB149" s="53" t="s">
        <v>260</v>
      </c>
      <c r="AC149" s="53" t="s">
        <v>304</v>
      </c>
      <c r="AD149" s="53"/>
      <c r="AE149" s="53">
        <f t="shared" si="95"/>
        <v>0</v>
      </c>
      <c r="AF149" s="53">
        <f t="shared" si="96"/>
        <v>0</v>
      </c>
      <c r="AG149" s="53">
        <f t="shared" si="97"/>
        <v>0</v>
      </c>
      <c r="AH149" s="53">
        <f t="shared" si="98"/>
        <v>0</v>
      </c>
      <c r="AI149" s="53">
        <f t="shared" si="99"/>
        <v>0</v>
      </c>
      <c r="AJ149" s="53">
        <f t="shared" si="100"/>
        <v>0</v>
      </c>
      <c r="AK149" s="53">
        <f t="shared" si="101"/>
        <v>0</v>
      </c>
      <c r="AL149" s="53">
        <f t="shared" si="102"/>
        <v>0</v>
      </c>
      <c r="AM149" s="53">
        <f t="shared" si="103"/>
        <v>0</v>
      </c>
      <c r="AN149" s="53">
        <f t="shared" si="104"/>
        <v>0</v>
      </c>
      <c r="AO149" s="53">
        <f t="shared" si="105"/>
        <v>0</v>
      </c>
      <c r="AP149" s="53">
        <f t="shared" si="106"/>
        <v>0</v>
      </c>
      <c r="AQ149" s="53">
        <f t="shared" si="107"/>
        <v>0</v>
      </c>
      <c r="AR149" s="53">
        <f t="shared" si="108"/>
        <v>0</v>
      </c>
      <c r="AS149" s="53">
        <f t="shared" si="109"/>
        <v>0</v>
      </c>
    </row>
    <row r="150" spans="1:45">
      <c r="A150" s="53">
        <v>38</v>
      </c>
      <c r="B150" s="53"/>
      <c r="C150" s="53"/>
      <c r="D150" s="55"/>
      <c r="E150" s="55"/>
      <c r="F150" s="55"/>
      <c r="G150" s="55"/>
      <c r="H150" s="53"/>
      <c r="I150" s="53"/>
      <c r="J150" s="53"/>
      <c r="K150" s="53"/>
      <c r="L150" s="53"/>
      <c r="M150" s="53"/>
      <c r="N150" s="53"/>
      <c r="O150" s="53"/>
      <c r="P150" s="53"/>
      <c r="Q150" s="53"/>
      <c r="R150" s="53"/>
      <c r="S150" s="53"/>
      <c r="T150" s="53"/>
      <c r="U150" s="53"/>
      <c r="V150" s="53"/>
      <c r="W150" s="53"/>
      <c r="X150" s="53"/>
      <c r="Y150" s="53">
        <f t="shared" si="92"/>
        <v>0</v>
      </c>
      <c r="Z150" s="53">
        <f t="shared" si="93"/>
        <v>0</v>
      </c>
      <c r="AA150" s="53">
        <f t="shared" si="94"/>
        <v>0</v>
      </c>
      <c r="AB150" s="53" t="s">
        <v>260</v>
      </c>
      <c r="AC150" s="53" t="s">
        <v>305</v>
      </c>
      <c r="AD150" s="53"/>
      <c r="AE150" s="53">
        <f t="shared" si="95"/>
        <v>0</v>
      </c>
      <c r="AF150" s="53">
        <f t="shared" si="96"/>
        <v>0</v>
      </c>
      <c r="AG150" s="53">
        <f t="shared" si="97"/>
        <v>0</v>
      </c>
      <c r="AH150" s="53">
        <f t="shared" si="98"/>
        <v>0</v>
      </c>
      <c r="AI150" s="53">
        <f t="shared" si="99"/>
        <v>0</v>
      </c>
      <c r="AJ150" s="53">
        <f t="shared" si="100"/>
        <v>0</v>
      </c>
      <c r="AK150" s="53">
        <f t="shared" si="101"/>
        <v>0</v>
      </c>
      <c r="AL150" s="53">
        <f t="shared" si="102"/>
        <v>0</v>
      </c>
      <c r="AM150" s="53">
        <f t="shared" si="103"/>
        <v>0</v>
      </c>
      <c r="AN150" s="53">
        <f t="shared" si="104"/>
        <v>0</v>
      </c>
      <c r="AO150" s="53">
        <f t="shared" si="105"/>
        <v>0</v>
      </c>
      <c r="AP150" s="53">
        <f t="shared" si="106"/>
        <v>0</v>
      </c>
      <c r="AQ150" s="53">
        <f t="shared" si="107"/>
        <v>0</v>
      </c>
      <c r="AR150" s="53">
        <f t="shared" si="108"/>
        <v>0</v>
      </c>
      <c r="AS150" s="53">
        <f t="shared" si="109"/>
        <v>0</v>
      </c>
    </row>
    <row r="151" spans="1:45">
      <c r="A151" s="53">
        <v>38</v>
      </c>
      <c r="B151" s="53"/>
      <c r="C151" s="53"/>
      <c r="D151" s="55"/>
      <c r="E151" s="55"/>
      <c r="F151" s="55"/>
      <c r="G151" s="55"/>
      <c r="H151" s="53"/>
      <c r="I151" s="53"/>
      <c r="J151" s="53"/>
      <c r="K151" s="53"/>
      <c r="L151" s="53"/>
      <c r="M151" s="53"/>
      <c r="N151" s="53"/>
      <c r="O151" s="53"/>
      <c r="P151" s="53"/>
      <c r="Q151" s="53"/>
      <c r="R151" s="53"/>
      <c r="S151" s="53"/>
      <c r="T151" s="53"/>
      <c r="U151" s="53"/>
      <c r="V151" s="53"/>
      <c r="W151" s="53"/>
      <c r="X151" s="53"/>
      <c r="Y151" s="53">
        <f t="shared" si="92"/>
        <v>0</v>
      </c>
      <c r="Z151" s="53">
        <f t="shared" si="93"/>
        <v>0</v>
      </c>
      <c r="AA151" s="53">
        <f t="shared" si="94"/>
        <v>0</v>
      </c>
      <c r="AB151" s="53" t="s">
        <v>260</v>
      </c>
      <c r="AC151" s="53" t="s">
        <v>306</v>
      </c>
      <c r="AD151" s="53"/>
      <c r="AE151" s="53">
        <f t="shared" si="95"/>
        <v>0</v>
      </c>
      <c r="AF151" s="53">
        <f t="shared" si="96"/>
        <v>0</v>
      </c>
      <c r="AG151" s="53">
        <f t="shared" si="97"/>
        <v>0</v>
      </c>
      <c r="AH151" s="53">
        <f t="shared" si="98"/>
        <v>0</v>
      </c>
      <c r="AI151" s="53">
        <f t="shared" si="99"/>
        <v>0</v>
      </c>
      <c r="AJ151" s="53">
        <f t="shared" si="100"/>
        <v>0</v>
      </c>
      <c r="AK151" s="53">
        <f t="shared" si="101"/>
        <v>0</v>
      </c>
      <c r="AL151" s="53">
        <f t="shared" si="102"/>
        <v>0</v>
      </c>
      <c r="AM151" s="53">
        <f t="shared" si="103"/>
        <v>0</v>
      </c>
      <c r="AN151" s="53">
        <f t="shared" si="104"/>
        <v>0</v>
      </c>
      <c r="AO151" s="53">
        <f t="shared" si="105"/>
        <v>0</v>
      </c>
      <c r="AP151" s="53">
        <f t="shared" si="106"/>
        <v>0</v>
      </c>
      <c r="AQ151" s="53">
        <f t="shared" si="107"/>
        <v>0</v>
      </c>
      <c r="AR151" s="53">
        <f t="shared" si="108"/>
        <v>0</v>
      </c>
      <c r="AS151" s="53">
        <f t="shared" si="109"/>
        <v>0</v>
      </c>
    </row>
    <row r="152" spans="1:45">
      <c r="A152" s="53">
        <v>38</v>
      </c>
      <c r="B152" s="53"/>
      <c r="C152" s="53"/>
      <c r="D152" s="55"/>
      <c r="E152" s="55"/>
      <c r="F152" s="55"/>
      <c r="G152" s="55"/>
      <c r="H152" s="53"/>
      <c r="I152" s="53"/>
      <c r="J152" s="53"/>
      <c r="K152" s="53"/>
      <c r="L152" s="53"/>
      <c r="M152" s="53"/>
      <c r="N152" s="53"/>
      <c r="O152" s="53"/>
      <c r="P152" s="53"/>
      <c r="Q152" s="53"/>
      <c r="R152" s="53"/>
      <c r="S152" s="53"/>
      <c r="T152" s="53"/>
      <c r="U152" s="53"/>
      <c r="V152" s="53"/>
      <c r="W152" s="53"/>
      <c r="X152" s="53"/>
      <c r="Y152" s="53">
        <f t="shared" si="92"/>
        <v>0</v>
      </c>
      <c r="Z152" s="53">
        <f t="shared" si="93"/>
        <v>0</v>
      </c>
      <c r="AA152" s="53">
        <f t="shared" si="94"/>
        <v>0</v>
      </c>
      <c r="AB152" s="53" t="s">
        <v>260</v>
      </c>
      <c r="AC152" s="53" t="s">
        <v>307</v>
      </c>
      <c r="AD152" s="53"/>
      <c r="AE152" s="53">
        <f t="shared" si="95"/>
        <v>0</v>
      </c>
      <c r="AF152" s="53">
        <f t="shared" si="96"/>
        <v>0</v>
      </c>
      <c r="AG152" s="53">
        <f t="shared" si="97"/>
        <v>0</v>
      </c>
      <c r="AH152" s="53">
        <f t="shared" si="98"/>
        <v>0</v>
      </c>
      <c r="AI152" s="53">
        <f t="shared" si="99"/>
        <v>0</v>
      </c>
      <c r="AJ152" s="53">
        <f t="shared" si="100"/>
        <v>0</v>
      </c>
      <c r="AK152" s="53">
        <f t="shared" si="101"/>
        <v>0</v>
      </c>
      <c r="AL152" s="53">
        <f t="shared" si="102"/>
        <v>0</v>
      </c>
      <c r="AM152" s="53">
        <f t="shared" si="103"/>
        <v>0</v>
      </c>
      <c r="AN152" s="53">
        <f t="shared" si="104"/>
        <v>0</v>
      </c>
      <c r="AO152" s="53">
        <f t="shared" si="105"/>
        <v>0</v>
      </c>
      <c r="AP152" s="53">
        <f t="shared" si="106"/>
        <v>0</v>
      </c>
      <c r="AQ152" s="53">
        <f t="shared" si="107"/>
        <v>0</v>
      </c>
      <c r="AR152" s="53">
        <f t="shared" si="108"/>
        <v>0</v>
      </c>
      <c r="AS152" s="53">
        <f t="shared" si="109"/>
        <v>0</v>
      </c>
    </row>
    <row r="153" spans="1:45">
      <c r="A153" s="53">
        <v>38</v>
      </c>
      <c r="B153" s="53"/>
      <c r="C153" s="53"/>
      <c r="D153" s="55"/>
      <c r="E153" s="55"/>
      <c r="F153" s="55"/>
      <c r="G153" s="55"/>
      <c r="H153" s="53"/>
      <c r="I153" s="53"/>
      <c r="J153" s="53"/>
      <c r="K153" s="53"/>
      <c r="L153" s="53"/>
      <c r="M153" s="53"/>
      <c r="N153" s="53"/>
      <c r="O153" s="53"/>
      <c r="P153" s="53"/>
      <c r="Q153" s="53"/>
      <c r="R153" s="53"/>
      <c r="S153" s="53"/>
      <c r="T153" s="53"/>
      <c r="U153" s="53"/>
      <c r="V153" s="53"/>
      <c r="W153" s="53"/>
      <c r="X153" s="53"/>
      <c r="Y153" s="53">
        <f t="shared" si="92"/>
        <v>0</v>
      </c>
      <c r="Z153" s="53">
        <f t="shared" si="93"/>
        <v>0</v>
      </c>
      <c r="AA153" s="53">
        <f t="shared" si="94"/>
        <v>0</v>
      </c>
      <c r="AB153" s="53" t="s">
        <v>260</v>
      </c>
      <c r="AC153" s="53" t="s">
        <v>308</v>
      </c>
      <c r="AD153" s="53"/>
      <c r="AE153" s="53">
        <f t="shared" si="95"/>
        <v>0</v>
      </c>
      <c r="AF153" s="53">
        <f t="shared" si="96"/>
        <v>0</v>
      </c>
      <c r="AG153" s="53">
        <f t="shared" si="97"/>
        <v>0</v>
      </c>
      <c r="AH153" s="53">
        <f t="shared" si="98"/>
        <v>0</v>
      </c>
      <c r="AI153" s="53">
        <f t="shared" si="99"/>
        <v>0</v>
      </c>
      <c r="AJ153" s="53">
        <f t="shared" si="100"/>
        <v>0</v>
      </c>
      <c r="AK153" s="53">
        <f t="shared" si="101"/>
        <v>0</v>
      </c>
      <c r="AL153" s="53">
        <f t="shared" si="102"/>
        <v>0</v>
      </c>
      <c r="AM153" s="53">
        <f t="shared" si="103"/>
        <v>0</v>
      </c>
      <c r="AN153" s="53">
        <f t="shared" si="104"/>
        <v>0</v>
      </c>
      <c r="AO153" s="53">
        <f t="shared" si="105"/>
        <v>0</v>
      </c>
      <c r="AP153" s="53">
        <f t="shared" si="106"/>
        <v>0</v>
      </c>
      <c r="AQ153" s="53">
        <f t="shared" si="107"/>
        <v>0</v>
      </c>
      <c r="AR153" s="53">
        <f t="shared" si="108"/>
        <v>0</v>
      </c>
      <c r="AS153" s="53">
        <f t="shared" si="109"/>
        <v>0</v>
      </c>
    </row>
    <row r="154" spans="1:45">
      <c r="A154" s="53">
        <v>38</v>
      </c>
      <c r="B154" s="53"/>
      <c r="C154" s="53"/>
      <c r="D154" s="55"/>
      <c r="E154" s="55"/>
      <c r="F154" s="55"/>
      <c r="G154" s="55"/>
      <c r="H154" s="53"/>
      <c r="I154" s="53"/>
      <c r="J154" s="53"/>
      <c r="K154" s="53"/>
      <c r="L154" s="53"/>
      <c r="M154" s="53"/>
      <c r="N154" s="53"/>
      <c r="O154" s="53"/>
      <c r="P154" s="53"/>
      <c r="Q154" s="53"/>
      <c r="R154" s="53"/>
      <c r="S154" s="53"/>
      <c r="T154" s="53"/>
      <c r="U154" s="53"/>
      <c r="V154" s="53"/>
      <c r="W154" s="53"/>
      <c r="X154" s="53"/>
      <c r="Y154" s="53">
        <f t="shared" si="92"/>
        <v>0</v>
      </c>
      <c r="Z154" s="53">
        <f t="shared" si="93"/>
        <v>0</v>
      </c>
      <c r="AA154" s="53">
        <f t="shared" si="94"/>
        <v>0</v>
      </c>
      <c r="AB154" s="53" t="s">
        <v>260</v>
      </c>
      <c r="AC154" s="53" t="s">
        <v>309</v>
      </c>
      <c r="AD154" s="53"/>
      <c r="AE154" s="53">
        <f t="shared" si="95"/>
        <v>0</v>
      </c>
      <c r="AF154" s="53">
        <f t="shared" si="96"/>
        <v>0</v>
      </c>
      <c r="AG154" s="53">
        <f t="shared" si="97"/>
        <v>0</v>
      </c>
      <c r="AH154" s="53">
        <f t="shared" si="98"/>
        <v>0</v>
      </c>
      <c r="AI154" s="53">
        <f t="shared" si="99"/>
        <v>0</v>
      </c>
      <c r="AJ154" s="53">
        <f t="shared" si="100"/>
        <v>0</v>
      </c>
      <c r="AK154" s="53">
        <f t="shared" si="101"/>
        <v>0</v>
      </c>
      <c r="AL154" s="53">
        <f t="shared" si="102"/>
        <v>0</v>
      </c>
      <c r="AM154" s="53">
        <f t="shared" si="103"/>
        <v>0</v>
      </c>
      <c r="AN154" s="53">
        <f t="shared" si="104"/>
        <v>0</v>
      </c>
      <c r="AO154" s="53">
        <f t="shared" si="105"/>
        <v>0</v>
      </c>
      <c r="AP154" s="53">
        <f t="shared" si="106"/>
        <v>0</v>
      </c>
      <c r="AQ154" s="53">
        <f t="shared" si="107"/>
        <v>0</v>
      </c>
      <c r="AR154" s="53">
        <f t="shared" si="108"/>
        <v>0</v>
      </c>
      <c r="AS154" s="53">
        <f t="shared" si="109"/>
        <v>0</v>
      </c>
    </row>
    <row r="155" spans="1:45">
      <c r="A155" s="53">
        <v>38</v>
      </c>
      <c r="B155" s="53"/>
      <c r="C155" s="53"/>
      <c r="D155" s="55"/>
      <c r="E155" s="55"/>
      <c r="F155" s="55"/>
      <c r="G155" s="55"/>
      <c r="H155" s="53"/>
      <c r="I155" s="53"/>
      <c r="J155" s="53"/>
      <c r="K155" s="53"/>
      <c r="L155" s="53"/>
      <c r="M155" s="53"/>
      <c r="N155" s="53"/>
      <c r="O155" s="53"/>
      <c r="P155" s="53"/>
      <c r="Q155" s="53"/>
      <c r="R155" s="53"/>
      <c r="S155" s="53"/>
      <c r="T155" s="53"/>
      <c r="U155" s="53"/>
      <c r="V155" s="53"/>
      <c r="W155" s="53"/>
      <c r="X155" s="53"/>
      <c r="Y155" s="53">
        <f t="shared" si="92"/>
        <v>0</v>
      </c>
      <c r="Z155" s="53">
        <f t="shared" si="93"/>
        <v>0</v>
      </c>
      <c r="AA155" s="53">
        <f t="shared" si="94"/>
        <v>0</v>
      </c>
      <c r="AB155" s="53" t="s">
        <v>260</v>
      </c>
      <c r="AC155" s="53" t="s">
        <v>310</v>
      </c>
      <c r="AD155" s="53"/>
      <c r="AE155" s="53">
        <f t="shared" si="95"/>
        <v>0</v>
      </c>
      <c r="AF155" s="53">
        <f t="shared" si="96"/>
        <v>0</v>
      </c>
      <c r="AG155" s="53">
        <f t="shared" si="97"/>
        <v>0</v>
      </c>
      <c r="AH155" s="53">
        <f t="shared" si="98"/>
        <v>0</v>
      </c>
      <c r="AI155" s="53">
        <f t="shared" si="99"/>
        <v>0</v>
      </c>
      <c r="AJ155" s="53">
        <f t="shared" si="100"/>
        <v>0</v>
      </c>
      <c r="AK155" s="53">
        <f t="shared" si="101"/>
        <v>0</v>
      </c>
      <c r="AL155" s="53">
        <f t="shared" si="102"/>
        <v>0</v>
      </c>
      <c r="AM155" s="53">
        <f t="shared" si="103"/>
        <v>0</v>
      </c>
      <c r="AN155" s="53">
        <f t="shared" si="104"/>
        <v>0</v>
      </c>
      <c r="AO155" s="53">
        <f t="shared" si="105"/>
        <v>0</v>
      </c>
      <c r="AP155" s="53">
        <f t="shared" si="106"/>
        <v>0</v>
      </c>
      <c r="AQ155" s="53">
        <f t="shared" si="107"/>
        <v>0</v>
      </c>
      <c r="AR155" s="53">
        <f t="shared" si="108"/>
        <v>0</v>
      </c>
      <c r="AS155" s="53">
        <f t="shared" si="109"/>
        <v>0</v>
      </c>
    </row>
    <row r="156" spans="1:45">
      <c r="A156" s="53">
        <v>38</v>
      </c>
      <c r="B156" s="53"/>
      <c r="C156" s="53"/>
      <c r="D156" s="55"/>
      <c r="E156" s="55"/>
      <c r="F156" s="55"/>
      <c r="G156" s="55"/>
      <c r="H156" s="53"/>
      <c r="I156" s="53"/>
      <c r="J156" s="53"/>
      <c r="K156" s="53"/>
      <c r="L156" s="53"/>
      <c r="M156" s="53"/>
      <c r="N156" s="53"/>
      <c r="O156" s="53"/>
      <c r="P156" s="53"/>
      <c r="Q156" s="53"/>
      <c r="R156" s="53"/>
      <c r="S156" s="53"/>
      <c r="T156" s="53"/>
      <c r="U156" s="53"/>
      <c r="V156" s="53"/>
      <c r="W156" s="53"/>
      <c r="X156" s="53"/>
      <c r="Y156" s="53">
        <f t="shared" si="92"/>
        <v>0</v>
      </c>
      <c r="Z156" s="53">
        <f t="shared" si="93"/>
        <v>0</v>
      </c>
      <c r="AA156" s="53">
        <f t="shared" si="94"/>
        <v>0</v>
      </c>
      <c r="AB156" s="53" t="s">
        <v>260</v>
      </c>
      <c r="AC156" s="53" t="s">
        <v>311</v>
      </c>
      <c r="AD156" s="53"/>
      <c r="AE156" s="53">
        <f t="shared" si="95"/>
        <v>0</v>
      </c>
      <c r="AF156" s="53">
        <f t="shared" si="96"/>
        <v>0</v>
      </c>
      <c r="AG156" s="53">
        <f t="shared" si="97"/>
        <v>0</v>
      </c>
      <c r="AH156" s="53">
        <f t="shared" si="98"/>
        <v>0</v>
      </c>
      <c r="AI156" s="53">
        <f t="shared" si="99"/>
        <v>0</v>
      </c>
      <c r="AJ156" s="53">
        <f t="shared" si="100"/>
        <v>0</v>
      </c>
      <c r="AK156" s="53">
        <f t="shared" si="101"/>
        <v>0</v>
      </c>
      <c r="AL156" s="53">
        <f t="shared" si="102"/>
        <v>0</v>
      </c>
      <c r="AM156" s="53">
        <f t="shared" si="103"/>
        <v>0</v>
      </c>
      <c r="AN156" s="53">
        <f t="shared" si="104"/>
        <v>0</v>
      </c>
      <c r="AO156" s="53">
        <f t="shared" si="105"/>
        <v>0</v>
      </c>
      <c r="AP156" s="53">
        <f t="shared" si="106"/>
        <v>0</v>
      </c>
      <c r="AQ156" s="53">
        <f t="shared" si="107"/>
        <v>0</v>
      </c>
      <c r="AR156" s="53">
        <f t="shared" si="108"/>
        <v>0</v>
      </c>
      <c r="AS156" s="53">
        <f t="shared" si="109"/>
        <v>0</v>
      </c>
    </row>
    <row r="157" spans="1:45">
      <c r="A157" s="53">
        <v>38</v>
      </c>
      <c r="B157" s="53"/>
      <c r="C157" s="53"/>
      <c r="D157" s="55"/>
      <c r="E157" s="55"/>
      <c r="F157" s="55"/>
      <c r="G157" s="55"/>
      <c r="H157" s="53"/>
      <c r="I157" s="53"/>
      <c r="J157" s="53"/>
      <c r="K157" s="53"/>
      <c r="L157" s="53"/>
      <c r="M157" s="53"/>
      <c r="N157" s="53"/>
      <c r="O157" s="53"/>
      <c r="P157" s="53"/>
      <c r="Q157" s="53"/>
      <c r="R157" s="53"/>
      <c r="S157" s="53"/>
      <c r="T157" s="53"/>
      <c r="U157" s="53"/>
      <c r="V157" s="53"/>
      <c r="W157" s="53"/>
      <c r="X157" s="53"/>
      <c r="Y157" s="53">
        <f t="shared" si="92"/>
        <v>0</v>
      </c>
      <c r="Z157" s="53">
        <f t="shared" si="93"/>
        <v>0</v>
      </c>
      <c r="AA157" s="53">
        <f t="shared" si="94"/>
        <v>0</v>
      </c>
      <c r="AB157" s="53" t="s">
        <v>260</v>
      </c>
      <c r="AC157" s="53" t="s">
        <v>312</v>
      </c>
      <c r="AD157" s="53"/>
      <c r="AE157" s="53">
        <f t="shared" si="95"/>
        <v>0</v>
      </c>
      <c r="AF157" s="53">
        <f t="shared" si="96"/>
        <v>0</v>
      </c>
      <c r="AG157" s="53">
        <f t="shared" si="97"/>
        <v>0</v>
      </c>
      <c r="AH157" s="53">
        <f t="shared" si="98"/>
        <v>0</v>
      </c>
      <c r="AI157" s="53">
        <f t="shared" si="99"/>
        <v>0</v>
      </c>
      <c r="AJ157" s="53">
        <f t="shared" si="100"/>
        <v>0</v>
      </c>
      <c r="AK157" s="53">
        <f t="shared" si="101"/>
        <v>0</v>
      </c>
      <c r="AL157" s="53">
        <f t="shared" si="102"/>
        <v>0</v>
      </c>
      <c r="AM157" s="53">
        <f t="shared" si="103"/>
        <v>0</v>
      </c>
      <c r="AN157" s="53">
        <f t="shared" si="104"/>
        <v>0</v>
      </c>
      <c r="AO157" s="53">
        <f t="shared" si="105"/>
        <v>0</v>
      </c>
      <c r="AP157" s="53">
        <f t="shared" si="106"/>
        <v>0</v>
      </c>
      <c r="AQ157" s="53">
        <f t="shared" si="107"/>
        <v>0</v>
      </c>
      <c r="AR157" s="53">
        <f t="shared" si="108"/>
        <v>0</v>
      </c>
      <c r="AS157" s="53">
        <f t="shared" si="109"/>
        <v>0</v>
      </c>
    </row>
    <row r="158" spans="1:45">
      <c r="A158" s="53">
        <v>38</v>
      </c>
      <c r="B158" s="53"/>
      <c r="C158" s="53"/>
      <c r="D158" s="55"/>
      <c r="E158" s="55"/>
      <c r="F158" s="55"/>
      <c r="G158" s="55"/>
      <c r="H158" s="53"/>
      <c r="I158" s="53"/>
      <c r="J158" s="53"/>
      <c r="K158" s="53"/>
      <c r="L158" s="53"/>
      <c r="M158" s="53"/>
      <c r="N158" s="53"/>
      <c r="O158" s="53"/>
      <c r="P158" s="53"/>
      <c r="Q158" s="53"/>
      <c r="R158" s="53"/>
      <c r="S158" s="53"/>
      <c r="T158" s="53"/>
      <c r="U158" s="53"/>
      <c r="V158" s="53"/>
      <c r="W158" s="53"/>
      <c r="X158" s="53"/>
      <c r="Y158" s="53">
        <f t="shared" si="92"/>
        <v>0</v>
      </c>
      <c r="Z158" s="53">
        <f t="shared" si="93"/>
        <v>0</v>
      </c>
      <c r="AA158" s="53">
        <f t="shared" si="94"/>
        <v>0</v>
      </c>
      <c r="AB158" s="53" t="s">
        <v>260</v>
      </c>
      <c r="AC158" s="53" t="s">
        <v>313</v>
      </c>
      <c r="AD158" s="53"/>
      <c r="AE158" s="53">
        <f t="shared" si="95"/>
        <v>0</v>
      </c>
      <c r="AF158" s="53">
        <f t="shared" si="96"/>
        <v>0</v>
      </c>
      <c r="AG158" s="53">
        <f t="shared" si="97"/>
        <v>0</v>
      </c>
      <c r="AH158" s="53">
        <f t="shared" si="98"/>
        <v>0</v>
      </c>
      <c r="AI158" s="53">
        <f t="shared" si="99"/>
        <v>0</v>
      </c>
      <c r="AJ158" s="53">
        <f t="shared" si="100"/>
        <v>0</v>
      </c>
      <c r="AK158" s="53">
        <f t="shared" si="101"/>
        <v>0</v>
      </c>
      <c r="AL158" s="53">
        <f t="shared" si="102"/>
        <v>0</v>
      </c>
      <c r="AM158" s="53">
        <f t="shared" si="103"/>
        <v>0</v>
      </c>
      <c r="AN158" s="53">
        <f t="shared" si="104"/>
        <v>0</v>
      </c>
      <c r="AO158" s="53">
        <f t="shared" si="105"/>
        <v>0</v>
      </c>
      <c r="AP158" s="53">
        <f t="shared" si="106"/>
        <v>0</v>
      </c>
      <c r="AQ158" s="53">
        <f t="shared" si="107"/>
        <v>0</v>
      </c>
      <c r="AR158" s="53">
        <f t="shared" si="108"/>
        <v>0</v>
      </c>
      <c r="AS158" s="53">
        <f t="shared" si="109"/>
        <v>0</v>
      </c>
    </row>
    <row r="159" spans="1:45">
      <c r="A159" s="53">
        <v>38</v>
      </c>
      <c r="B159" s="53"/>
      <c r="C159" s="53"/>
      <c r="D159" s="55"/>
      <c r="E159" s="55"/>
      <c r="F159" s="55"/>
      <c r="G159" s="55"/>
      <c r="H159" s="53"/>
      <c r="I159" s="53"/>
      <c r="J159" s="53"/>
      <c r="K159" s="53"/>
      <c r="L159" s="53"/>
      <c r="M159" s="53"/>
      <c r="N159" s="53"/>
      <c r="O159" s="53"/>
      <c r="P159" s="53"/>
      <c r="Q159" s="53"/>
      <c r="R159" s="53"/>
      <c r="S159" s="53"/>
      <c r="T159" s="53"/>
      <c r="U159" s="53"/>
      <c r="V159" s="53"/>
      <c r="W159" s="53"/>
      <c r="X159" s="53"/>
      <c r="Y159" s="53">
        <f t="shared" si="92"/>
        <v>0</v>
      </c>
      <c r="Z159" s="53">
        <f t="shared" si="93"/>
        <v>0</v>
      </c>
      <c r="AA159" s="53">
        <f t="shared" si="94"/>
        <v>0</v>
      </c>
      <c r="AB159" s="53" t="s">
        <v>260</v>
      </c>
      <c r="AC159" s="53" t="s">
        <v>314</v>
      </c>
      <c r="AD159" s="53"/>
      <c r="AE159" s="53">
        <f t="shared" si="95"/>
        <v>0</v>
      </c>
      <c r="AF159" s="53">
        <f t="shared" si="96"/>
        <v>0</v>
      </c>
      <c r="AG159" s="53">
        <f t="shared" si="97"/>
        <v>0</v>
      </c>
      <c r="AH159" s="53">
        <f t="shared" si="98"/>
        <v>0</v>
      </c>
      <c r="AI159" s="53">
        <f t="shared" si="99"/>
        <v>0</v>
      </c>
      <c r="AJ159" s="53">
        <f t="shared" si="100"/>
        <v>0</v>
      </c>
      <c r="AK159" s="53">
        <f t="shared" si="101"/>
        <v>0</v>
      </c>
      <c r="AL159" s="53">
        <f t="shared" si="102"/>
        <v>0</v>
      </c>
      <c r="AM159" s="53">
        <f t="shared" si="103"/>
        <v>0</v>
      </c>
      <c r="AN159" s="53">
        <f t="shared" si="104"/>
        <v>0</v>
      </c>
      <c r="AO159" s="53">
        <f t="shared" si="105"/>
        <v>0</v>
      </c>
      <c r="AP159" s="53">
        <f t="shared" si="106"/>
        <v>0</v>
      </c>
      <c r="AQ159" s="53">
        <f t="shared" si="107"/>
        <v>0</v>
      </c>
      <c r="AR159" s="53">
        <f t="shared" si="108"/>
        <v>0</v>
      </c>
      <c r="AS159" s="53">
        <f t="shared" si="109"/>
        <v>0</v>
      </c>
    </row>
    <row r="160" spans="1:45">
      <c r="A160" s="53">
        <v>38</v>
      </c>
      <c r="B160" s="53"/>
      <c r="C160" s="53"/>
      <c r="D160" s="55"/>
      <c r="E160" s="55"/>
      <c r="F160" s="55"/>
      <c r="G160" s="55"/>
      <c r="H160" s="53"/>
      <c r="I160" s="53"/>
      <c r="J160" s="53"/>
      <c r="K160" s="53"/>
      <c r="L160" s="53"/>
      <c r="M160" s="53"/>
      <c r="N160" s="53"/>
      <c r="O160" s="53"/>
      <c r="P160" s="53"/>
      <c r="Q160" s="53"/>
      <c r="R160" s="53"/>
      <c r="S160" s="53"/>
      <c r="T160" s="53"/>
      <c r="U160" s="53"/>
      <c r="V160" s="53"/>
      <c r="W160" s="53"/>
      <c r="X160" s="53"/>
      <c r="Y160" s="53">
        <f t="shared" si="92"/>
        <v>0</v>
      </c>
      <c r="Z160" s="53">
        <f t="shared" si="93"/>
        <v>0</v>
      </c>
      <c r="AA160" s="53">
        <f t="shared" si="94"/>
        <v>0</v>
      </c>
      <c r="AB160" s="53" t="s">
        <v>260</v>
      </c>
      <c r="AC160" s="53" t="s">
        <v>315</v>
      </c>
      <c r="AD160" s="53"/>
      <c r="AE160" s="53">
        <f t="shared" si="95"/>
        <v>0</v>
      </c>
      <c r="AF160" s="53">
        <f t="shared" si="96"/>
        <v>0</v>
      </c>
      <c r="AG160" s="53">
        <f t="shared" si="97"/>
        <v>0</v>
      </c>
      <c r="AH160" s="53">
        <f t="shared" si="98"/>
        <v>0</v>
      </c>
      <c r="AI160" s="53">
        <f t="shared" si="99"/>
        <v>0</v>
      </c>
      <c r="AJ160" s="53">
        <f t="shared" si="100"/>
        <v>0</v>
      </c>
      <c r="AK160" s="53">
        <f t="shared" si="101"/>
        <v>0</v>
      </c>
      <c r="AL160" s="53">
        <f t="shared" si="102"/>
        <v>0</v>
      </c>
      <c r="AM160" s="53">
        <f t="shared" si="103"/>
        <v>0</v>
      </c>
      <c r="AN160" s="53">
        <f t="shared" si="104"/>
        <v>0</v>
      </c>
      <c r="AO160" s="53">
        <f t="shared" si="105"/>
        <v>0</v>
      </c>
      <c r="AP160" s="53">
        <f t="shared" si="106"/>
        <v>0</v>
      </c>
      <c r="AQ160" s="53">
        <f t="shared" si="107"/>
        <v>0</v>
      </c>
      <c r="AR160" s="53">
        <f t="shared" si="108"/>
        <v>0</v>
      </c>
      <c r="AS160" s="53">
        <f t="shared" si="109"/>
        <v>0</v>
      </c>
    </row>
    <row r="161" spans="1:45">
      <c r="A161" s="53">
        <v>38</v>
      </c>
      <c r="B161" s="53"/>
      <c r="C161" s="53"/>
      <c r="D161" s="55"/>
      <c r="E161" s="55"/>
      <c r="F161" s="55"/>
      <c r="G161" s="55"/>
      <c r="H161" s="53"/>
      <c r="I161" s="53"/>
      <c r="J161" s="53"/>
      <c r="K161" s="53"/>
      <c r="L161" s="53"/>
      <c r="M161" s="53"/>
      <c r="N161" s="53"/>
      <c r="O161" s="53"/>
      <c r="P161" s="53"/>
      <c r="Q161" s="53"/>
      <c r="R161" s="53"/>
      <c r="S161" s="53"/>
      <c r="T161" s="53"/>
      <c r="U161" s="53"/>
      <c r="V161" s="53"/>
      <c r="W161" s="53"/>
      <c r="X161" s="53"/>
      <c r="Y161" s="53">
        <f t="shared" si="92"/>
        <v>0</v>
      </c>
      <c r="Z161" s="53">
        <f t="shared" si="93"/>
        <v>0</v>
      </c>
      <c r="AA161" s="53">
        <f t="shared" si="94"/>
        <v>0</v>
      </c>
      <c r="AB161" s="53" t="s">
        <v>260</v>
      </c>
      <c r="AC161" s="53" t="s">
        <v>316</v>
      </c>
      <c r="AD161" s="53"/>
      <c r="AE161" s="53">
        <f t="shared" si="95"/>
        <v>0</v>
      </c>
      <c r="AF161" s="53">
        <f t="shared" si="96"/>
        <v>0</v>
      </c>
      <c r="AG161" s="53">
        <f t="shared" si="97"/>
        <v>0</v>
      </c>
      <c r="AH161" s="53">
        <f t="shared" si="98"/>
        <v>0</v>
      </c>
      <c r="AI161" s="53">
        <f t="shared" si="99"/>
        <v>0</v>
      </c>
      <c r="AJ161" s="53">
        <f t="shared" si="100"/>
        <v>0</v>
      </c>
      <c r="AK161" s="53">
        <f t="shared" si="101"/>
        <v>0</v>
      </c>
      <c r="AL161" s="53">
        <f t="shared" si="102"/>
        <v>0</v>
      </c>
      <c r="AM161" s="53">
        <f t="shared" si="103"/>
        <v>0</v>
      </c>
      <c r="AN161" s="53">
        <f t="shared" si="104"/>
        <v>0</v>
      </c>
      <c r="AO161" s="53">
        <f t="shared" si="105"/>
        <v>0</v>
      </c>
      <c r="AP161" s="53">
        <f t="shared" si="106"/>
        <v>0</v>
      </c>
      <c r="AQ161" s="53">
        <f t="shared" si="107"/>
        <v>0</v>
      </c>
      <c r="AR161" s="53">
        <f t="shared" si="108"/>
        <v>0</v>
      </c>
      <c r="AS161" s="53">
        <f t="shared" si="109"/>
        <v>0</v>
      </c>
    </row>
    <row r="162" spans="1:45">
      <c r="A162" s="53">
        <v>38</v>
      </c>
      <c r="B162" s="53"/>
      <c r="C162" s="53"/>
      <c r="D162" s="55"/>
      <c r="E162" s="55"/>
      <c r="F162" s="55"/>
      <c r="G162" s="55"/>
      <c r="H162" s="53"/>
      <c r="I162" s="53"/>
      <c r="J162" s="53"/>
      <c r="K162" s="53"/>
      <c r="L162" s="53"/>
      <c r="M162" s="53"/>
      <c r="N162" s="53"/>
      <c r="O162" s="53"/>
      <c r="P162" s="53"/>
      <c r="Q162" s="53"/>
      <c r="R162" s="53"/>
      <c r="S162" s="53"/>
      <c r="T162" s="53"/>
      <c r="U162" s="53"/>
      <c r="V162" s="53"/>
      <c r="W162" s="53"/>
      <c r="X162" s="53"/>
      <c r="Y162" s="53">
        <f t="shared" si="92"/>
        <v>0</v>
      </c>
      <c r="Z162" s="53">
        <f t="shared" si="93"/>
        <v>0</v>
      </c>
      <c r="AA162" s="53">
        <f t="shared" si="94"/>
        <v>0</v>
      </c>
      <c r="AB162" s="53" t="s">
        <v>260</v>
      </c>
      <c r="AC162" s="53" t="s">
        <v>317</v>
      </c>
      <c r="AD162" s="53"/>
      <c r="AE162" s="53">
        <f t="shared" si="95"/>
        <v>0</v>
      </c>
      <c r="AF162" s="53">
        <f t="shared" si="96"/>
        <v>0</v>
      </c>
      <c r="AG162" s="53">
        <f t="shared" si="97"/>
        <v>0</v>
      </c>
      <c r="AH162" s="53">
        <f t="shared" si="98"/>
        <v>0</v>
      </c>
      <c r="AI162" s="53">
        <f t="shared" si="99"/>
        <v>0</v>
      </c>
      <c r="AJ162" s="53">
        <f t="shared" si="100"/>
        <v>0</v>
      </c>
      <c r="AK162" s="53">
        <f t="shared" si="101"/>
        <v>0</v>
      </c>
      <c r="AL162" s="53">
        <f t="shared" si="102"/>
        <v>0</v>
      </c>
      <c r="AM162" s="53">
        <f t="shared" si="103"/>
        <v>0</v>
      </c>
      <c r="AN162" s="53">
        <f t="shared" si="104"/>
        <v>0</v>
      </c>
      <c r="AO162" s="53">
        <f t="shared" si="105"/>
        <v>0</v>
      </c>
      <c r="AP162" s="53">
        <f t="shared" si="106"/>
        <v>0</v>
      </c>
      <c r="AQ162" s="53">
        <f t="shared" si="107"/>
        <v>0</v>
      </c>
      <c r="AR162" s="53">
        <f t="shared" si="108"/>
        <v>0</v>
      </c>
      <c r="AS162" s="53">
        <f t="shared" si="109"/>
        <v>0</v>
      </c>
    </row>
    <row r="163" spans="1:45">
      <c r="A163" s="53">
        <v>38</v>
      </c>
      <c r="B163" s="53"/>
      <c r="C163" s="53"/>
      <c r="D163" s="55"/>
      <c r="E163" s="55"/>
      <c r="F163" s="55"/>
      <c r="G163" s="55"/>
      <c r="H163" s="53"/>
      <c r="I163" s="53"/>
      <c r="J163" s="53"/>
      <c r="K163" s="53"/>
      <c r="L163" s="53"/>
      <c r="M163" s="53"/>
      <c r="N163" s="53"/>
      <c r="O163" s="53"/>
      <c r="P163" s="53"/>
      <c r="Q163" s="53"/>
      <c r="R163" s="53"/>
      <c r="S163" s="53"/>
      <c r="T163" s="53"/>
      <c r="U163" s="53"/>
      <c r="V163" s="53"/>
      <c r="W163" s="53"/>
      <c r="X163" s="53"/>
      <c r="Y163" s="53">
        <f t="shared" si="92"/>
        <v>0</v>
      </c>
      <c r="Z163" s="53">
        <f t="shared" si="93"/>
        <v>0</v>
      </c>
      <c r="AA163" s="53">
        <f t="shared" si="94"/>
        <v>0</v>
      </c>
      <c r="AB163" s="53" t="s">
        <v>260</v>
      </c>
      <c r="AC163" s="53" t="s">
        <v>318</v>
      </c>
      <c r="AD163" s="53"/>
      <c r="AE163" s="53">
        <f t="shared" si="95"/>
        <v>0</v>
      </c>
      <c r="AF163" s="53">
        <f t="shared" si="96"/>
        <v>0</v>
      </c>
      <c r="AG163" s="53">
        <f t="shared" si="97"/>
        <v>0</v>
      </c>
      <c r="AH163" s="53">
        <f t="shared" si="98"/>
        <v>0</v>
      </c>
      <c r="AI163" s="53">
        <f t="shared" si="99"/>
        <v>0</v>
      </c>
      <c r="AJ163" s="53">
        <f t="shared" si="100"/>
        <v>0</v>
      </c>
      <c r="AK163" s="53">
        <f t="shared" si="101"/>
        <v>0</v>
      </c>
      <c r="AL163" s="53">
        <f t="shared" si="102"/>
        <v>0</v>
      </c>
      <c r="AM163" s="53">
        <f t="shared" si="103"/>
        <v>0</v>
      </c>
      <c r="AN163" s="53">
        <f t="shared" si="104"/>
        <v>0</v>
      </c>
      <c r="AO163" s="53">
        <f t="shared" si="105"/>
        <v>0</v>
      </c>
      <c r="AP163" s="53">
        <f t="shared" si="106"/>
        <v>0</v>
      </c>
      <c r="AQ163" s="53">
        <f t="shared" si="107"/>
        <v>0</v>
      </c>
      <c r="AR163" s="53">
        <f t="shared" si="108"/>
        <v>0</v>
      </c>
      <c r="AS163" s="53">
        <f t="shared" si="109"/>
        <v>0</v>
      </c>
    </row>
    <row r="164" spans="1:45">
      <c r="A164" s="53" t="s">
        <v>29</v>
      </c>
      <c r="B164" s="53"/>
      <c r="C164" s="53"/>
      <c r="D164" s="55"/>
      <c r="E164" s="55"/>
      <c r="F164" s="55"/>
      <c r="G164" s="55"/>
      <c r="H164" s="53"/>
      <c r="I164" s="53"/>
      <c r="J164" s="53"/>
      <c r="K164" s="53"/>
      <c r="L164" s="53"/>
      <c r="M164" s="53"/>
      <c r="N164" s="53"/>
      <c r="O164" s="53"/>
      <c r="P164" s="53"/>
      <c r="Q164" s="53"/>
      <c r="R164" s="53"/>
      <c r="S164" s="53"/>
      <c r="T164" s="53"/>
      <c r="U164" s="53"/>
      <c r="V164" s="53"/>
      <c r="W164" s="53"/>
      <c r="X164" s="53"/>
      <c r="Y164" s="53">
        <f>SUM(Y114:Y163)</f>
        <v>14</v>
      </c>
      <c r="Z164" s="53">
        <f>SUM(Z114:Z163)</f>
        <v>19</v>
      </c>
      <c r="AA164" s="53">
        <f>SUM(AA114:AA163)</f>
        <v>223000</v>
      </c>
      <c r="AB164" s="53"/>
      <c r="AC164" s="53"/>
      <c r="AD164" s="53"/>
      <c r="AE164" s="53">
        <f t="shared" ref="AE164:AS164" si="110">SUM(AE114:AE163)</f>
        <v>11</v>
      </c>
      <c r="AF164" s="53">
        <f t="shared" si="110"/>
        <v>3</v>
      </c>
      <c r="AG164" s="53">
        <f t="shared" si="110"/>
        <v>14</v>
      </c>
      <c r="AH164" s="53">
        <f t="shared" si="110"/>
        <v>8</v>
      </c>
      <c r="AI164" s="53">
        <f t="shared" si="110"/>
        <v>1</v>
      </c>
      <c r="AJ164" s="53">
        <f t="shared" si="110"/>
        <v>9</v>
      </c>
      <c r="AK164" s="53">
        <f t="shared" si="110"/>
        <v>3</v>
      </c>
      <c r="AL164" s="53">
        <f t="shared" si="110"/>
        <v>2</v>
      </c>
      <c r="AM164" s="53">
        <f t="shared" si="110"/>
        <v>5</v>
      </c>
      <c r="AN164" s="53">
        <f t="shared" si="110"/>
        <v>14</v>
      </c>
      <c r="AO164" s="53">
        <f t="shared" si="110"/>
        <v>5</v>
      </c>
      <c r="AP164" s="53">
        <f t="shared" si="110"/>
        <v>19</v>
      </c>
      <c r="AQ164" s="53">
        <f t="shared" si="110"/>
        <v>204000</v>
      </c>
      <c r="AR164" s="53">
        <f t="shared" si="110"/>
        <v>19000</v>
      </c>
      <c r="AS164" s="53">
        <f t="shared" si="110"/>
        <v>223000</v>
      </c>
    </row>
  </sheetData>
  <mergeCells count="1">
    <mergeCell ref="F2:I4"/>
  </mergeCells>
  <phoneticPr fontId="3" type="noConversion"/>
  <conditionalFormatting sqref="A58:AS58 A8:AC57 AE8:AS57">
    <cfRule type="expression" dxfId="51" priority="5">
      <formula>UPPER(TRIM($W8&amp;""))="CANCELLED"</formula>
    </cfRule>
  </conditionalFormatting>
  <conditionalFormatting sqref="A8:AS57">
    <cfRule type="expression" dxfId="50" priority="3">
      <formula>LOWER(TRIM($AD8))="empty"</formula>
    </cfRule>
  </conditionalFormatting>
  <conditionalFormatting sqref="A7:AS58">
    <cfRule type="expression" dxfId="49" priority="1">
      <formula>AND(ISNUMBER($A$2),MOD($A$2,2)=0)</formula>
    </cfRule>
  </conditionalFormatting>
  <conditionalFormatting sqref="A111:AS111 A61:AC110 AE61:AS110">
    <cfRule type="expression" dxfId="48" priority="6">
      <formula>UPPER(TRIM($W61&amp;""))="CANCELLED"</formula>
    </cfRule>
  </conditionalFormatting>
  <conditionalFormatting sqref="A61:AS110">
    <cfRule type="expression" dxfId="47" priority="7">
      <formula>LOWER(TRIM($AD61))="empty"</formula>
    </cfRule>
  </conditionalFormatting>
  <conditionalFormatting sqref="A60:AS111">
    <cfRule type="expression" dxfId="46" priority="8">
      <formula>AND(ISNUMBER($A$2),MOD($A$2,2)=0)</formula>
    </cfRule>
  </conditionalFormatting>
  <conditionalFormatting sqref="A164:AS164 A114:AC163 AE114:AS163">
    <cfRule type="expression" dxfId="45" priority="9">
      <formula>UPPER(TRIM($W114&amp;""))="CANCELLED"</formula>
    </cfRule>
  </conditionalFormatting>
  <conditionalFormatting sqref="A114:AS163">
    <cfRule type="expression" dxfId="44" priority="10">
      <formula>LOWER(TRIM($AD114))="empty"</formula>
    </cfRule>
  </conditionalFormatting>
  <conditionalFormatting sqref="A113:AS164">
    <cfRule type="expression" dxfId="43" priority="11">
      <formula>AND(ISNUMBER($A$2),MOD($A$2,2)=0)</formula>
    </cfRule>
  </conditionalFormatting>
  <dataValidations count="2">
    <dataValidation type="list" allowBlank="1" showInputMessage="1" showErrorMessage="1" errorTitle="Choose a valid row status" error="Select Active or Cancelled from the list." promptTitle="Row status" prompt="Cancelled rows remain visible but contribute zero to Summary, TEU, and TS." sqref="W8:W57 W114:W163 W61:W110" xr:uid="{FABC6FA8-DB91-468B-8443-1439D72E67D5}">
      <formula1>"Active,Cancelled"</formula1>
    </dataValidation>
    <dataValidation type="list" allowBlank="1" showInputMessage="1" showErrorMessage="1" errorTitle="Choose a valid load status" error="Select Loaded or Empty from the list." promptTitle="Load status" prompt="Loaded/Empty is separate from Active/Cancelled. Cancelled rows calculate as zero." sqref="AD8:AD57 AD114:AD163 AD61:AD110" xr:uid="{7240A399-7127-4D97-B67C-8F85C9935C58}">
      <formula1>"Loaded,Empty"</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4097" r:id="rId3" name="Jauna tabula">
              <controlPr defaultSize="0" print="0" autoFill="0" autoPict="0" macro="[0]!NewWeekBlock">
                <anchor moveWithCells="1" sizeWithCells="1">
                  <from>
                    <xdr:col>0</xdr:col>
                    <xdr:colOff>25400</xdr:colOff>
                    <xdr:row>0</xdr:row>
                    <xdr:rowOff>25400</xdr:rowOff>
                  </from>
                  <to>
                    <xdr:col>2</xdr:col>
                    <xdr:colOff>596900</xdr:colOff>
                    <xdr:row>3</xdr:row>
                    <xdr:rowOff>177800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D4351-88DF-4B8C-B10C-2394B39600A3}">
  <sheetPr codeName="Sheet1"/>
  <dimension ref="A1:AS54"/>
  <sheetViews>
    <sheetView zoomScale="67" workbookViewId="0">
      <pane ySplit="1" topLeftCell="A2" activePane="bottomLeft" state="frozen"/>
      <selection pane="bottomLeft" activeCell="G11" sqref="G11"/>
    </sheetView>
  </sheetViews>
  <sheetFormatPr baseColWidth="10" defaultColWidth="8.6640625" defaultRowHeight="15"/>
  <cols>
    <col min="1" max="1" width="13" customWidth="1"/>
    <col min="2" max="2" width="16.1640625" customWidth="1"/>
    <col min="3" max="3" width="12.5" customWidth="1"/>
    <col min="6" max="6" width="12.5" customWidth="1"/>
    <col min="7" max="7" width="12.6640625" customWidth="1"/>
    <col min="8" max="8" width="22.33203125" customWidth="1"/>
    <col min="9" max="9" width="13.33203125" customWidth="1"/>
    <col min="10" max="10" width="20.6640625" customWidth="1"/>
    <col min="12" max="12" width="20.6640625" customWidth="1"/>
    <col min="13" max="13" width="18.1640625" customWidth="1"/>
    <col min="14" max="14" width="12.33203125" customWidth="1"/>
    <col min="15" max="15" width="12.1640625" customWidth="1"/>
    <col min="16" max="16" width="12.6640625" customWidth="1"/>
    <col min="17" max="17" width="11.5" customWidth="1"/>
    <col min="18" max="18" width="12.5" customWidth="1"/>
    <col min="19" max="19" width="18.5" customWidth="1"/>
    <col min="20" max="20" width="11.33203125" customWidth="1"/>
    <col min="21" max="21" width="18" customWidth="1"/>
    <col min="22" max="22" width="18.1640625" customWidth="1"/>
    <col min="23" max="23" width="15" customWidth="1"/>
    <col min="24" max="24" width="18.5" customWidth="1"/>
    <col min="25" max="25" width="16.6640625" customWidth="1"/>
    <col min="26" max="26" width="13.5" customWidth="1"/>
    <col min="28" max="29" width="0" hidden="1"/>
    <col min="30" max="30" width="13" customWidth="1"/>
    <col min="31" max="33" width="18" customWidth="1"/>
    <col min="34" max="45" width="14" customWidth="1"/>
  </cols>
  <sheetData>
    <row r="1" spans="1:45">
      <c r="A1" s="51" t="s">
        <v>0</v>
      </c>
      <c r="B1" s="51" t="s">
        <v>1</v>
      </c>
      <c r="C1" s="51" t="s">
        <v>2</v>
      </c>
      <c r="D1" s="51" t="s">
        <v>3</v>
      </c>
      <c r="E1" s="51" t="s">
        <v>4</v>
      </c>
      <c r="F1" s="51" t="s">
        <v>5</v>
      </c>
      <c r="G1" s="51" t="s">
        <v>6</v>
      </c>
      <c r="H1" s="51" t="s">
        <v>7</v>
      </c>
      <c r="I1" s="51" t="s">
        <v>8</v>
      </c>
      <c r="J1" s="51" t="s">
        <v>9</v>
      </c>
      <c r="K1" s="51" t="s">
        <v>10</v>
      </c>
      <c r="L1" s="51" t="s">
        <v>11</v>
      </c>
      <c r="M1" s="51" t="s">
        <v>12</v>
      </c>
      <c r="N1" s="51" t="s">
        <v>13</v>
      </c>
      <c r="O1" s="51" t="s">
        <v>14</v>
      </c>
      <c r="P1" s="51" t="s">
        <v>15</v>
      </c>
      <c r="Q1" s="51" t="s">
        <v>16</v>
      </c>
      <c r="R1" s="51" t="s">
        <v>17</v>
      </c>
      <c r="S1" s="51" t="s">
        <v>18</v>
      </c>
      <c r="T1" s="51" t="s">
        <v>19</v>
      </c>
      <c r="U1" s="51" t="s">
        <v>20</v>
      </c>
      <c r="V1" s="51" t="s">
        <v>21</v>
      </c>
      <c r="W1" s="51" t="s">
        <v>22</v>
      </c>
      <c r="X1" s="51" t="s">
        <v>23</v>
      </c>
      <c r="Y1" s="51" t="s">
        <v>24</v>
      </c>
      <c r="Z1" s="51" t="s">
        <v>25</v>
      </c>
      <c r="AA1" s="51" t="s">
        <v>26</v>
      </c>
      <c r="AB1" s="51" t="s">
        <v>27</v>
      </c>
      <c r="AC1" s="51" t="s">
        <v>28</v>
      </c>
      <c r="AD1" s="51" t="s">
        <v>89</v>
      </c>
      <c r="AE1" s="51" t="s">
        <v>90</v>
      </c>
      <c r="AF1" s="51" t="s">
        <v>91</v>
      </c>
      <c r="AG1" s="51" t="s">
        <v>92</v>
      </c>
      <c r="AH1" s="51" t="s">
        <v>93</v>
      </c>
      <c r="AI1" s="51" t="s">
        <v>94</v>
      </c>
      <c r="AJ1" s="51" t="s">
        <v>95</v>
      </c>
      <c r="AK1" s="51" t="s">
        <v>96</v>
      </c>
      <c r="AL1" s="51" t="s">
        <v>97</v>
      </c>
      <c r="AM1" s="51" t="s">
        <v>98</v>
      </c>
      <c r="AN1" s="51" t="s">
        <v>70</v>
      </c>
      <c r="AO1" s="51" t="s">
        <v>71</v>
      </c>
      <c r="AP1" s="51" t="s">
        <v>48</v>
      </c>
      <c r="AQ1" s="51" t="s">
        <v>79</v>
      </c>
      <c r="AR1" s="51" t="s">
        <v>80</v>
      </c>
      <c r="AS1" s="51" t="s">
        <v>78</v>
      </c>
    </row>
    <row r="2" spans="1:45">
      <c r="A2" s="51"/>
      <c r="B2" s="51"/>
      <c r="C2" s="51"/>
      <c r="D2" s="51"/>
      <c r="E2" s="51"/>
      <c r="F2" s="51"/>
      <c r="G2" s="51"/>
      <c r="H2" s="51"/>
      <c r="I2" s="51"/>
      <c r="J2" s="51"/>
      <c r="K2" s="51"/>
      <c r="L2" s="51"/>
      <c r="M2" s="51"/>
      <c r="N2" s="51"/>
      <c r="O2" s="51"/>
      <c r="P2" s="51"/>
      <c r="Q2" s="51"/>
      <c r="R2" s="51"/>
      <c r="S2" s="51"/>
      <c r="T2" s="51"/>
      <c r="U2" s="51"/>
      <c r="V2" s="51"/>
      <c r="W2" s="51"/>
      <c r="X2" s="51"/>
      <c r="Y2" s="51">
        <f t="shared" ref="Y2:Y33" si="0">IF(UPPER(TRIM($W2&amp;""))="CANCELLED",0,IFERROR(0+$M2,0))</f>
        <v>0</v>
      </c>
      <c r="Z2" s="51">
        <f t="shared" ref="Z2:Z33" si="1">IF(UPPER(TRIM($W2&amp;""))="CANCELLED",0,IFERROR((IFERROR(0+$M2,0))*IF(IFERROR(0+TRIM($N2&amp;""),0)=4,2,IF(IFERROR(0+TRIM($N2&amp;""),0)=2,1,0)),0))</f>
        <v>0</v>
      </c>
      <c r="AA2" s="51">
        <f t="shared" ref="AA2:AA33" si="2">IF(UPPER(TRIM($W2&amp;""))="CANCELLED",0,IFERROR(0+$P2,0))</f>
        <v>0</v>
      </c>
      <c r="AB2" s="51"/>
      <c r="AC2" s="51"/>
      <c r="AD2" s="51"/>
      <c r="AE2" s="51">
        <f t="shared" ref="AE2:AE33" si="3">IF(UPPER(TRIM($W2&amp;""))="CANCELLED",0,IF(UPPER(TRIM($AD2&amp;""))="EMPTY",0,IFERROR(0+$M2,0)))</f>
        <v>0</v>
      </c>
      <c r="AF2" s="51">
        <f t="shared" ref="AF2:AF33" si="4">IF(UPPER(TRIM($W2&amp;""))="CANCELLED",0,IF(UPPER(TRIM($AD2&amp;""))="EMPTY",IFERROR(0+$M2,0),0))</f>
        <v>0</v>
      </c>
      <c r="AG2" s="51">
        <f t="shared" ref="AG2:AG33" si="5">AE2+AF2</f>
        <v>0</v>
      </c>
      <c r="AH2" s="51">
        <f t="shared" ref="AH2:AH33" si="6">IF(UPPER(TRIM($W2&amp;""))="CANCELLED",0,IF(AND(NOT(UPPER(TRIM($AD2&amp;""))="EMPTY"),IFERROR(0+TRIM($N2&amp;""),0)=2),IFERROR(0+$M2,0),0))</f>
        <v>0</v>
      </c>
      <c r="AI2" s="51">
        <f t="shared" ref="AI2:AI33" si="7">IF(UPPER(TRIM($W2&amp;""))="CANCELLED",0,IF(AND(UPPER(TRIM($AD2&amp;""))="EMPTY",IFERROR(0+TRIM($N2&amp;""),0)=2),IFERROR(0+$M2,0),0))</f>
        <v>0</v>
      </c>
      <c r="AJ2" s="51">
        <f t="shared" ref="AJ2:AJ33" si="8">AH2+AI2</f>
        <v>0</v>
      </c>
      <c r="AK2" s="51">
        <f t="shared" ref="AK2:AK33" si="9">IF(UPPER(TRIM($W2&amp;""))="CANCELLED",0,IF(AND(NOT(UPPER(TRIM($AD2&amp;""))="EMPTY"),IFERROR(0+TRIM($N2&amp;""),0)=4),IFERROR(0+$M2,0),0))</f>
        <v>0</v>
      </c>
      <c r="AL2" s="51">
        <f t="shared" ref="AL2:AL33" si="10">IF(UPPER(TRIM($W2&amp;""))="CANCELLED",0,IF(AND(UPPER(TRIM($AD2&amp;""))="EMPTY",IFERROR(0+TRIM($N2&amp;""),0)=4),IFERROR(0+$M2,0),0))</f>
        <v>0</v>
      </c>
      <c r="AM2" s="51">
        <f t="shared" ref="AM2:AM33" si="11">AK2+AL2</f>
        <v>0</v>
      </c>
      <c r="AN2" s="51">
        <f t="shared" ref="AN2:AN33" si="12">IF(UPPER(TRIM($W2&amp;""))="CANCELLED",0,IF(UPPER(TRIM($AD2&amp;""))="EMPTY",0,IFERROR((IFERROR(0+$M2,0))*IF(IFERROR(0+TRIM($N2&amp;""),0)=4,2,IF(IFERROR(0+TRIM($N2&amp;""),0)=2,1,0)),0)))</f>
        <v>0</v>
      </c>
      <c r="AO2" s="51">
        <f t="shared" ref="AO2:AO33" si="13">IF(UPPER(TRIM($W2&amp;""))="CANCELLED",0,IF(UPPER(TRIM($AD2&amp;""))="EMPTY",IFERROR((IFERROR(0+$M2,0))*IF(IFERROR(0+TRIM($N2&amp;""),0)=4,2,IF(IFERROR(0+TRIM($N2&amp;""),0)=2,1,0)),0),0))</f>
        <v>0</v>
      </c>
      <c r="AP2" s="51">
        <f t="shared" ref="AP2:AP33" si="14">AN2+AO2</f>
        <v>0</v>
      </c>
      <c r="AQ2" s="51">
        <f t="shared" ref="AQ2:AQ33" si="15">IF(UPPER(TRIM($W2&amp;""))="CANCELLED",0,IF(UPPER(TRIM($AD2&amp;""))="EMPTY",0,IFERROR(0+$P2,0)))</f>
        <v>0</v>
      </c>
      <c r="AR2" s="51">
        <f t="shared" ref="AR2:AR33" si="16">IF(UPPER(TRIM($W2&amp;""))="CANCELLED",0,IF(UPPER(TRIM($AD2&amp;""))="EMPTY",IFERROR(0+$P2,0),0))</f>
        <v>0</v>
      </c>
      <c r="AS2" s="51">
        <f t="shared" ref="AS2:AS33" si="17">AQ2+AR2</f>
        <v>0</v>
      </c>
    </row>
    <row r="3" spans="1:45">
      <c r="A3" s="51"/>
      <c r="B3" s="51"/>
      <c r="C3" s="51"/>
      <c r="D3" s="51"/>
      <c r="E3" s="51"/>
      <c r="F3" s="51"/>
      <c r="G3" s="51"/>
      <c r="H3" s="51"/>
      <c r="I3" s="51"/>
      <c r="J3" s="51"/>
      <c r="K3" s="51"/>
      <c r="L3" s="51"/>
      <c r="M3" s="51"/>
      <c r="N3" s="51"/>
      <c r="O3" s="51"/>
      <c r="P3" s="51"/>
      <c r="Q3" s="51"/>
      <c r="R3" s="51"/>
      <c r="S3" s="51"/>
      <c r="T3" s="51"/>
      <c r="U3" s="51"/>
      <c r="V3" s="51"/>
      <c r="W3" s="51"/>
      <c r="X3" s="51"/>
      <c r="Y3" s="51">
        <f t="shared" si="0"/>
        <v>0</v>
      </c>
      <c r="Z3" s="51">
        <f t="shared" si="1"/>
        <v>0</v>
      </c>
      <c r="AA3" s="51">
        <f t="shared" si="2"/>
        <v>0</v>
      </c>
      <c r="AB3" s="51"/>
      <c r="AC3" s="51"/>
      <c r="AD3" s="51"/>
      <c r="AE3" s="51">
        <f t="shared" si="3"/>
        <v>0</v>
      </c>
      <c r="AF3" s="51">
        <f t="shared" si="4"/>
        <v>0</v>
      </c>
      <c r="AG3" s="51">
        <f t="shared" si="5"/>
        <v>0</v>
      </c>
      <c r="AH3" s="51">
        <f t="shared" si="6"/>
        <v>0</v>
      </c>
      <c r="AI3" s="51">
        <f t="shared" si="7"/>
        <v>0</v>
      </c>
      <c r="AJ3" s="51">
        <f t="shared" si="8"/>
        <v>0</v>
      </c>
      <c r="AK3" s="51">
        <f t="shared" si="9"/>
        <v>0</v>
      </c>
      <c r="AL3" s="51">
        <f t="shared" si="10"/>
        <v>0</v>
      </c>
      <c r="AM3" s="51">
        <f t="shared" si="11"/>
        <v>0</v>
      </c>
      <c r="AN3" s="51">
        <f t="shared" si="12"/>
        <v>0</v>
      </c>
      <c r="AO3" s="51">
        <f t="shared" si="13"/>
        <v>0</v>
      </c>
      <c r="AP3" s="51">
        <f t="shared" si="14"/>
        <v>0</v>
      </c>
      <c r="AQ3" s="51">
        <f t="shared" si="15"/>
        <v>0</v>
      </c>
      <c r="AR3" s="51">
        <f t="shared" si="16"/>
        <v>0</v>
      </c>
      <c r="AS3" s="51">
        <f t="shared" si="17"/>
        <v>0</v>
      </c>
    </row>
    <row r="4" spans="1:45">
      <c r="A4" s="51"/>
      <c r="B4" s="51"/>
      <c r="C4" s="51"/>
      <c r="D4" s="51"/>
      <c r="E4" s="51"/>
      <c r="F4" s="51"/>
      <c r="G4" s="51"/>
      <c r="H4" s="51"/>
      <c r="I4" s="51"/>
      <c r="J4" s="51"/>
      <c r="K4" s="51"/>
      <c r="L4" s="51"/>
      <c r="M4" s="51"/>
      <c r="N4" s="51"/>
      <c r="O4" s="51"/>
      <c r="P4" s="51"/>
      <c r="Q4" s="51"/>
      <c r="R4" s="51"/>
      <c r="S4" s="51"/>
      <c r="T4" s="51"/>
      <c r="U4" s="51"/>
      <c r="V4" s="51"/>
      <c r="W4" s="51"/>
      <c r="X4" s="51"/>
      <c r="Y4" s="51">
        <f t="shared" si="0"/>
        <v>0</v>
      </c>
      <c r="Z4" s="51">
        <f t="shared" si="1"/>
        <v>0</v>
      </c>
      <c r="AA4" s="51">
        <f t="shared" si="2"/>
        <v>0</v>
      </c>
      <c r="AB4" s="51"/>
      <c r="AC4" s="51"/>
      <c r="AD4" s="51"/>
      <c r="AE4" s="51">
        <f t="shared" si="3"/>
        <v>0</v>
      </c>
      <c r="AF4" s="51">
        <f t="shared" si="4"/>
        <v>0</v>
      </c>
      <c r="AG4" s="51">
        <f t="shared" si="5"/>
        <v>0</v>
      </c>
      <c r="AH4" s="51">
        <f t="shared" si="6"/>
        <v>0</v>
      </c>
      <c r="AI4" s="51">
        <f t="shared" si="7"/>
        <v>0</v>
      </c>
      <c r="AJ4" s="51">
        <f t="shared" si="8"/>
        <v>0</v>
      </c>
      <c r="AK4" s="51">
        <f t="shared" si="9"/>
        <v>0</v>
      </c>
      <c r="AL4" s="51">
        <f t="shared" si="10"/>
        <v>0</v>
      </c>
      <c r="AM4" s="51">
        <f t="shared" si="11"/>
        <v>0</v>
      </c>
      <c r="AN4" s="51">
        <f t="shared" si="12"/>
        <v>0</v>
      </c>
      <c r="AO4" s="51">
        <f t="shared" si="13"/>
        <v>0</v>
      </c>
      <c r="AP4" s="51">
        <f t="shared" si="14"/>
        <v>0</v>
      </c>
      <c r="AQ4" s="51">
        <f t="shared" si="15"/>
        <v>0</v>
      </c>
      <c r="AR4" s="51">
        <f t="shared" si="16"/>
        <v>0</v>
      </c>
      <c r="AS4" s="51">
        <f t="shared" si="17"/>
        <v>0</v>
      </c>
    </row>
    <row r="5" spans="1:45">
      <c r="A5" s="51"/>
      <c r="B5" s="51"/>
      <c r="C5" s="51"/>
      <c r="D5" s="51"/>
      <c r="E5" s="51"/>
      <c r="F5" s="51"/>
      <c r="G5" s="51"/>
      <c r="H5" s="51"/>
      <c r="I5" s="51"/>
      <c r="J5" s="51"/>
      <c r="K5" s="51"/>
      <c r="L5" s="51"/>
      <c r="M5" s="51"/>
      <c r="N5" s="51"/>
      <c r="O5" s="51"/>
      <c r="P5" s="51"/>
      <c r="Q5" s="51"/>
      <c r="R5" s="51"/>
      <c r="S5" s="51"/>
      <c r="T5" s="51"/>
      <c r="U5" s="51"/>
      <c r="V5" s="51"/>
      <c r="W5" s="51"/>
      <c r="X5" s="51"/>
      <c r="Y5" s="51">
        <f t="shared" si="0"/>
        <v>0</v>
      </c>
      <c r="Z5" s="51">
        <f t="shared" si="1"/>
        <v>0</v>
      </c>
      <c r="AA5" s="51">
        <f t="shared" si="2"/>
        <v>0</v>
      </c>
      <c r="AB5" s="51"/>
      <c r="AC5" s="51"/>
      <c r="AD5" s="51"/>
      <c r="AE5" s="51">
        <f t="shared" si="3"/>
        <v>0</v>
      </c>
      <c r="AF5" s="51">
        <f t="shared" si="4"/>
        <v>0</v>
      </c>
      <c r="AG5" s="51">
        <f t="shared" si="5"/>
        <v>0</v>
      </c>
      <c r="AH5" s="51">
        <f t="shared" si="6"/>
        <v>0</v>
      </c>
      <c r="AI5" s="51">
        <f t="shared" si="7"/>
        <v>0</v>
      </c>
      <c r="AJ5" s="51">
        <f t="shared" si="8"/>
        <v>0</v>
      </c>
      <c r="AK5" s="51">
        <f t="shared" si="9"/>
        <v>0</v>
      </c>
      <c r="AL5" s="51">
        <f t="shared" si="10"/>
        <v>0</v>
      </c>
      <c r="AM5" s="51">
        <f t="shared" si="11"/>
        <v>0</v>
      </c>
      <c r="AN5" s="51">
        <f t="shared" si="12"/>
        <v>0</v>
      </c>
      <c r="AO5" s="51">
        <f t="shared" si="13"/>
        <v>0</v>
      </c>
      <c r="AP5" s="51">
        <f t="shared" si="14"/>
        <v>0</v>
      </c>
      <c r="AQ5" s="51">
        <f t="shared" si="15"/>
        <v>0</v>
      </c>
      <c r="AR5" s="51">
        <f t="shared" si="16"/>
        <v>0</v>
      </c>
      <c r="AS5" s="51">
        <f t="shared" si="17"/>
        <v>0</v>
      </c>
    </row>
    <row r="6" spans="1:45">
      <c r="A6" s="51"/>
      <c r="B6" s="51"/>
      <c r="C6" s="51"/>
      <c r="D6" s="51"/>
      <c r="E6" s="51"/>
      <c r="F6" s="51"/>
      <c r="G6" s="51"/>
      <c r="H6" s="51"/>
      <c r="I6" s="51"/>
      <c r="J6" s="51"/>
      <c r="K6" s="51"/>
      <c r="L6" s="51"/>
      <c r="M6" s="51"/>
      <c r="N6" s="51"/>
      <c r="O6" s="51"/>
      <c r="P6" s="51"/>
      <c r="Q6" s="51"/>
      <c r="R6" s="51"/>
      <c r="S6" s="51"/>
      <c r="T6" s="51"/>
      <c r="U6" s="51"/>
      <c r="V6" s="51"/>
      <c r="W6" s="51"/>
      <c r="X6" s="51"/>
      <c r="Y6" s="51">
        <f t="shared" si="0"/>
        <v>0</v>
      </c>
      <c r="Z6" s="51">
        <f t="shared" si="1"/>
        <v>0</v>
      </c>
      <c r="AA6" s="51">
        <f t="shared" si="2"/>
        <v>0</v>
      </c>
      <c r="AB6" s="51"/>
      <c r="AC6" s="51"/>
      <c r="AD6" s="51"/>
      <c r="AE6" s="51">
        <f t="shared" si="3"/>
        <v>0</v>
      </c>
      <c r="AF6" s="51">
        <f t="shared" si="4"/>
        <v>0</v>
      </c>
      <c r="AG6" s="51">
        <f t="shared" si="5"/>
        <v>0</v>
      </c>
      <c r="AH6" s="51">
        <f t="shared" si="6"/>
        <v>0</v>
      </c>
      <c r="AI6" s="51">
        <f t="shared" si="7"/>
        <v>0</v>
      </c>
      <c r="AJ6" s="51">
        <f t="shared" si="8"/>
        <v>0</v>
      </c>
      <c r="AK6" s="51">
        <f t="shared" si="9"/>
        <v>0</v>
      </c>
      <c r="AL6" s="51">
        <f t="shared" si="10"/>
        <v>0</v>
      </c>
      <c r="AM6" s="51">
        <f t="shared" si="11"/>
        <v>0</v>
      </c>
      <c r="AN6" s="51">
        <f t="shared" si="12"/>
        <v>0</v>
      </c>
      <c r="AO6" s="51">
        <f t="shared" si="13"/>
        <v>0</v>
      </c>
      <c r="AP6" s="51">
        <f t="shared" si="14"/>
        <v>0</v>
      </c>
      <c r="AQ6" s="51">
        <f t="shared" si="15"/>
        <v>0</v>
      </c>
      <c r="AR6" s="51">
        <f t="shared" si="16"/>
        <v>0</v>
      </c>
      <c r="AS6" s="51">
        <f t="shared" si="17"/>
        <v>0</v>
      </c>
    </row>
    <row r="7" spans="1:45">
      <c r="A7" s="51"/>
      <c r="B7" s="51"/>
      <c r="C7" s="51"/>
      <c r="D7" s="51"/>
      <c r="E7" s="51"/>
      <c r="F7" s="51"/>
      <c r="G7" s="51"/>
      <c r="H7" s="51"/>
      <c r="I7" s="51"/>
      <c r="J7" s="51"/>
      <c r="K7" s="51"/>
      <c r="L7" s="51"/>
      <c r="M7" s="51"/>
      <c r="N7" s="51"/>
      <c r="O7" s="51"/>
      <c r="P7" s="51"/>
      <c r="Q7" s="51"/>
      <c r="R7" s="51"/>
      <c r="S7" s="51"/>
      <c r="T7" s="51"/>
      <c r="U7" s="51"/>
      <c r="V7" s="51"/>
      <c r="W7" s="51"/>
      <c r="X7" s="51"/>
      <c r="Y7" s="51">
        <f t="shared" si="0"/>
        <v>0</v>
      </c>
      <c r="Z7" s="51">
        <f t="shared" si="1"/>
        <v>0</v>
      </c>
      <c r="AA7" s="51">
        <f t="shared" si="2"/>
        <v>0</v>
      </c>
      <c r="AB7" s="51"/>
      <c r="AC7" s="51"/>
      <c r="AD7" s="51"/>
      <c r="AE7" s="51">
        <f t="shared" si="3"/>
        <v>0</v>
      </c>
      <c r="AF7" s="51">
        <f t="shared" si="4"/>
        <v>0</v>
      </c>
      <c r="AG7" s="51">
        <f t="shared" si="5"/>
        <v>0</v>
      </c>
      <c r="AH7" s="51">
        <f t="shared" si="6"/>
        <v>0</v>
      </c>
      <c r="AI7" s="51">
        <f t="shared" si="7"/>
        <v>0</v>
      </c>
      <c r="AJ7" s="51">
        <f t="shared" si="8"/>
        <v>0</v>
      </c>
      <c r="AK7" s="51">
        <f t="shared" si="9"/>
        <v>0</v>
      </c>
      <c r="AL7" s="51">
        <f t="shared" si="10"/>
        <v>0</v>
      </c>
      <c r="AM7" s="51">
        <f t="shared" si="11"/>
        <v>0</v>
      </c>
      <c r="AN7" s="51">
        <f t="shared" si="12"/>
        <v>0</v>
      </c>
      <c r="AO7" s="51">
        <f t="shared" si="13"/>
        <v>0</v>
      </c>
      <c r="AP7" s="51">
        <f t="shared" si="14"/>
        <v>0</v>
      </c>
      <c r="AQ7" s="51">
        <f t="shared" si="15"/>
        <v>0</v>
      </c>
      <c r="AR7" s="51">
        <f t="shared" si="16"/>
        <v>0</v>
      </c>
      <c r="AS7" s="51">
        <f t="shared" si="17"/>
        <v>0</v>
      </c>
    </row>
    <row r="8" spans="1:45">
      <c r="A8" s="51"/>
      <c r="B8" s="51"/>
      <c r="C8" s="51"/>
      <c r="D8" s="51"/>
      <c r="E8" s="51"/>
      <c r="F8" s="51"/>
      <c r="G8" s="51"/>
      <c r="H8" s="51"/>
      <c r="I8" s="51"/>
      <c r="J8" s="51"/>
      <c r="K8" s="51"/>
      <c r="L8" s="51"/>
      <c r="M8" s="51"/>
      <c r="N8" s="51"/>
      <c r="O8" s="51"/>
      <c r="P8" s="51"/>
      <c r="Q8" s="51"/>
      <c r="R8" s="51"/>
      <c r="S8" s="51"/>
      <c r="T8" s="51"/>
      <c r="U8" s="51"/>
      <c r="V8" s="51"/>
      <c r="W8" s="51"/>
      <c r="X8" s="51"/>
      <c r="Y8" s="51">
        <f t="shared" si="0"/>
        <v>0</v>
      </c>
      <c r="Z8" s="51">
        <f t="shared" si="1"/>
        <v>0</v>
      </c>
      <c r="AA8" s="51">
        <f t="shared" si="2"/>
        <v>0</v>
      </c>
      <c r="AB8" s="51"/>
      <c r="AC8" s="51"/>
      <c r="AD8" s="51"/>
      <c r="AE8" s="51">
        <f t="shared" si="3"/>
        <v>0</v>
      </c>
      <c r="AF8" s="51">
        <f t="shared" si="4"/>
        <v>0</v>
      </c>
      <c r="AG8" s="51">
        <f t="shared" si="5"/>
        <v>0</v>
      </c>
      <c r="AH8" s="51">
        <f t="shared" si="6"/>
        <v>0</v>
      </c>
      <c r="AI8" s="51">
        <f t="shared" si="7"/>
        <v>0</v>
      </c>
      <c r="AJ8" s="51">
        <f t="shared" si="8"/>
        <v>0</v>
      </c>
      <c r="AK8" s="51">
        <f t="shared" si="9"/>
        <v>0</v>
      </c>
      <c r="AL8" s="51">
        <f t="shared" si="10"/>
        <v>0</v>
      </c>
      <c r="AM8" s="51">
        <f t="shared" si="11"/>
        <v>0</v>
      </c>
      <c r="AN8" s="51">
        <f t="shared" si="12"/>
        <v>0</v>
      </c>
      <c r="AO8" s="51">
        <f t="shared" si="13"/>
        <v>0</v>
      </c>
      <c r="AP8" s="51">
        <f t="shared" si="14"/>
        <v>0</v>
      </c>
      <c r="AQ8" s="51">
        <f t="shared" si="15"/>
        <v>0</v>
      </c>
      <c r="AR8" s="51">
        <f t="shared" si="16"/>
        <v>0</v>
      </c>
      <c r="AS8" s="51">
        <f t="shared" si="17"/>
        <v>0</v>
      </c>
    </row>
    <row r="9" spans="1:45">
      <c r="A9" s="51"/>
      <c r="B9" s="51"/>
      <c r="C9" s="51"/>
      <c r="D9" s="51"/>
      <c r="E9" s="51"/>
      <c r="F9" s="51"/>
      <c r="G9" s="51"/>
      <c r="H9" s="51"/>
      <c r="I9" s="51"/>
      <c r="J9" s="51"/>
      <c r="K9" s="51"/>
      <c r="L9" s="51"/>
      <c r="M9" s="51"/>
      <c r="N9" s="51"/>
      <c r="O9" s="51"/>
      <c r="P9" s="51"/>
      <c r="Q9" s="51"/>
      <c r="R9" s="51"/>
      <c r="S9" s="51"/>
      <c r="T9" s="51"/>
      <c r="U9" s="51"/>
      <c r="V9" s="51"/>
      <c r="W9" s="51"/>
      <c r="X9" s="51"/>
      <c r="Y9" s="51">
        <f t="shared" si="0"/>
        <v>0</v>
      </c>
      <c r="Z9" s="51">
        <f t="shared" si="1"/>
        <v>0</v>
      </c>
      <c r="AA9" s="51">
        <f t="shared" si="2"/>
        <v>0</v>
      </c>
      <c r="AB9" s="51"/>
      <c r="AC9" s="51"/>
      <c r="AD9" s="51"/>
      <c r="AE9" s="51">
        <f t="shared" si="3"/>
        <v>0</v>
      </c>
      <c r="AF9" s="51">
        <f t="shared" si="4"/>
        <v>0</v>
      </c>
      <c r="AG9" s="51">
        <f t="shared" si="5"/>
        <v>0</v>
      </c>
      <c r="AH9" s="51">
        <f t="shared" si="6"/>
        <v>0</v>
      </c>
      <c r="AI9" s="51">
        <f t="shared" si="7"/>
        <v>0</v>
      </c>
      <c r="AJ9" s="51">
        <f t="shared" si="8"/>
        <v>0</v>
      </c>
      <c r="AK9" s="51">
        <f t="shared" si="9"/>
        <v>0</v>
      </c>
      <c r="AL9" s="51">
        <f t="shared" si="10"/>
        <v>0</v>
      </c>
      <c r="AM9" s="51">
        <f t="shared" si="11"/>
        <v>0</v>
      </c>
      <c r="AN9" s="51">
        <f t="shared" si="12"/>
        <v>0</v>
      </c>
      <c r="AO9" s="51">
        <f t="shared" si="13"/>
        <v>0</v>
      </c>
      <c r="AP9" s="51">
        <f t="shared" si="14"/>
        <v>0</v>
      </c>
      <c r="AQ9" s="51">
        <f t="shared" si="15"/>
        <v>0</v>
      </c>
      <c r="AR9" s="51">
        <f t="shared" si="16"/>
        <v>0</v>
      </c>
      <c r="AS9" s="51">
        <f t="shared" si="17"/>
        <v>0</v>
      </c>
    </row>
    <row r="10" spans="1:45">
      <c r="A10" s="51"/>
      <c r="B10" s="51"/>
      <c r="C10" s="51"/>
      <c r="D10" s="51"/>
      <c r="E10" s="51"/>
      <c r="F10" s="51"/>
      <c r="G10" s="51"/>
      <c r="H10" s="51"/>
      <c r="I10" s="51"/>
      <c r="J10" s="51"/>
      <c r="K10" s="51"/>
      <c r="L10" s="51"/>
      <c r="M10" s="51"/>
      <c r="N10" s="51"/>
      <c r="O10" s="51"/>
      <c r="P10" s="51"/>
      <c r="Q10" s="51"/>
      <c r="R10" s="51"/>
      <c r="S10" s="51"/>
      <c r="T10" s="51"/>
      <c r="U10" s="51"/>
      <c r="V10" s="51"/>
      <c r="W10" s="51"/>
      <c r="X10" s="51"/>
      <c r="Y10" s="51">
        <f t="shared" si="0"/>
        <v>0</v>
      </c>
      <c r="Z10" s="51">
        <f t="shared" si="1"/>
        <v>0</v>
      </c>
      <c r="AA10" s="51">
        <f t="shared" si="2"/>
        <v>0</v>
      </c>
      <c r="AB10" s="51"/>
      <c r="AC10" s="51"/>
      <c r="AD10" s="51"/>
      <c r="AE10" s="51">
        <f t="shared" si="3"/>
        <v>0</v>
      </c>
      <c r="AF10" s="51">
        <f t="shared" si="4"/>
        <v>0</v>
      </c>
      <c r="AG10" s="51">
        <f t="shared" si="5"/>
        <v>0</v>
      </c>
      <c r="AH10" s="51">
        <f t="shared" si="6"/>
        <v>0</v>
      </c>
      <c r="AI10" s="51">
        <f t="shared" si="7"/>
        <v>0</v>
      </c>
      <c r="AJ10" s="51">
        <f t="shared" si="8"/>
        <v>0</v>
      </c>
      <c r="AK10" s="51">
        <f t="shared" si="9"/>
        <v>0</v>
      </c>
      <c r="AL10" s="51">
        <f t="shared" si="10"/>
        <v>0</v>
      </c>
      <c r="AM10" s="51">
        <f t="shared" si="11"/>
        <v>0</v>
      </c>
      <c r="AN10" s="51">
        <f t="shared" si="12"/>
        <v>0</v>
      </c>
      <c r="AO10" s="51">
        <f t="shared" si="13"/>
        <v>0</v>
      </c>
      <c r="AP10" s="51">
        <f t="shared" si="14"/>
        <v>0</v>
      </c>
      <c r="AQ10" s="51">
        <f t="shared" si="15"/>
        <v>0</v>
      </c>
      <c r="AR10" s="51">
        <f t="shared" si="16"/>
        <v>0</v>
      </c>
      <c r="AS10" s="51">
        <f t="shared" si="17"/>
        <v>0</v>
      </c>
    </row>
    <row r="11" spans="1:45">
      <c r="A11" s="51"/>
      <c r="B11" s="51"/>
      <c r="C11" s="51"/>
      <c r="D11" s="51"/>
      <c r="E11" s="51"/>
      <c r="F11" s="51"/>
      <c r="G11" s="51"/>
      <c r="H11" s="51"/>
      <c r="I11" s="51"/>
      <c r="J11" s="51"/>
      <c r="K11" s="51"/>
      <c r="L11" s="51"/>
      <c r="M11" s="51"/>
      <c r="N11" s="51"/>
      <c r="O11" s="51"/>
      <c r="P11" s="51"/>
      <c r="Q11" s="51"/>
      <c r="R11" s="51"/>
      <c r="S11" s="51"/>
      <c r="T11" s="51"/>
      <c r="U11" s="51"/>
      <c r="V11" s="51"/>
      <c r="W11" s="51"/>
      <c r="X11" s="51"/>
      <c r="Y11" s="51">
        <f t="shared" si="0"/>
        <v>0</v>
      </c>
      <c r="Z11" s="51">
        <f t="shared" si="1"/>
        <v>0</v>
      </c>
      <c r="AA11" s="51">
        <f t="shared" si="2"/>
        <v>0</v>
      </c>
      <c r="AB11" s="51"/>
      <c r="AC11" s="51"/>
      <c r="AD11" s="51"/>
      <c r="AE11" s="51">
        <f t="shared" si="3"/>
        <v>0</v>
      </c>
      <c r="AF11" s="51">
        <f t="shared" si="4"/>
        <v>0</v>
      </c>
      <c r="AG11" s="51">
        <f t="shared" si="5"/>
        <v>0</v>
      </c>
      <c r="AH11" s="51">
        <f t="shared" si="6"/>
        <v>0</v>
      </c>
      <c r="AI11" s="51">
        <f t="shared" si="7"/>
        <v>0</v>
      </c>
      <c r="AJ11" s="51">
        <f t="shared" si="8"/>
        <v>0</v>
      </c>
      <c r="AK11" s="51">
        <f t="shared" si="9"/>
        <v>0</v>
      </c>
      <c r="AL11" s="51">
        <f t="shared" si="10"/>
        <v>0</v>
      </c>
      <c r="AM11" s="51">
        <f t="shared" si="11"/>
        <v>0</v>
      </c>
      <c r="AN11" s="51">
        <f t="shared" si="12"/>
        <v>0</v>
      </c>
      <c r="AO11" s="51">
        <f t="shared" si="13"/>
        <v>0</v>
      </c>
      <c r="AP11" s="51">
        <f t="shared" si="14"/>
        <v>0</v>
      </c>
      <c r="AQ11" s="51">
        <f t="shared" si="15"/>
        <v>0</v>
      </c>
      <c r="AR11" s="51">
        <f t="shared" si="16"/>
        <v>0</v>
      </c>
      <c r="AS11" s="51">
        <f t="shared" si="17"/>
        <v>0</v>
      </c>
    </row>
    <row r="12" spans="1:45">
      <c r="A12" s="51"/>
      <c r="B12" s="51"/>
      <c r="C12" s="51"/>
      <c r="D12" s="51"/>
      <c r="E12" s="51"/>
      <c r="F12" s="51"/>
      <c r="G12" s="51"/>
      <c r="H12" s="51"/>
      <c r="I12" s="51"/>
      <c r="J12" s="51"/>
      <c r="K12" s="51"/>
      <c r="L12" s="51"/>
      <c r="M12" s="51"/>
      <c r="N12" s="51"/>
      <c r="O12" s="51"/>
      <c r="P12" s="51"/>
      <c r="Q12" s="51"/>
      <c r="R12" s="51"/>
      <c r="S12" s="51"/>
      <c r="T12" s="51"/>
      <c r="U12" s="51"/>
      <c r="V12" s="51"/>
      <c r="W12" s="51"/>
      <c r="X12" s="51"/>
      <c r="Y12" s="51">
        <f t="shared" si="0"/>
        <v>0</v>
      </c>
      <c r="Z12" s="51">
        <f t="shared" si="1"/>
        <v>0</v>
      </c>
      <c r="AA12" s="51">
        <f t="shared" si="2"/>
        <v>0</v>
      </c>
      <c r="AB12" s="51"/>
      <c r="AC12" s="51"/>
      <c r="AD12" s="51"/>
      <c r="AE12" s="51">
        <f t="shared" si="3"/>
        <v>0</v>
      </c>
      <c r="AF12" s="51">
        <f t="shared" si="4"/>
        <v>0</v>
      </c>
      <c r="AG12" s="51">
        <f t="shared" si="5"/>
        <v>0</v>
      </c>
      <c r="AH12" s="51">
        <f t="shared" si="6"/>
        <v>0</v>
      </c>
      <c r="AI12" s="51">
        <f t="shared" si="7"/>
        <v>0</v>
      </c>
      <c r="AJ12" s="51">
        <f t="shared" si="8"/>
        <v>0</v>
      </c>
      <c r="AK12" s="51">
        <f t="shared" si="9"/>
        <v>0</v>
      </c>
      <c r="AL12" s="51">
        <f t="shared" si="10"/>
        <v>0</v>
      </c>
      <c r="AM12" s="51">
        <f t="shared" si="11"/>
        <v>0</v>
      </c>
      <c r="AN12" s="51">
        <f t="shared" si="12"/>
        <v>0</v>
      </c>
      <c r="AO12" s="51">
        <f t="shared" si="13"/>
        <v>0</v>
      </c>
      <c r="AP12" s="51">
        <f t="shared" si="14"/>
        <v>0</v>
      </c>
      <c r="AQ12" s="51">
        <f t="shared" si="15"/>
        <v>0</v>
      </c>
      <c r="AR12" s="51">
        <f t="shared" si="16"/>
        <v>0</v>
      </c>
      <c r="AS12" s="51">
        <f t="shared" si="17"/>
        <v>0</v>
      </c>
    </row>
    <row r="13" spans="1:45">
      <c r="A13" s="51"/>
      <c r="B13" s="51"/>
      <c r="C13" s="51"/>
      <c r="D13" s="51"/>
      <c r="E13" s="51"/>
      <c r="F13" s="51"/>
      <c r="G13" s="51"/>
      <c r="H13" s="51"/>
      <c r="I13" s="51"/>
      <c r="J13" s="51"/>
      <c r="K13" s="51"/>
      <c r="L13" s="51"/>
      <c r="M13" s="51"/>
      <c r="N13" s="51"/>
      <c r="O13" s="51"/>
      <c r="P13" s="51"/>
      <c r="Q13" s="51"/>
      <c r="R13" s="51"/>
      <c r="S13" s="51"/>
      <c r="T13" s="51"/>
      <c r="U13" s="51"/>
      <c r="V13" s="51"/>
      <c r="W13" s="51"/>
      <c r="X13" s="51"/>
      <c r="Y13" s="51">
        <f t="shared" si="0"/>
        <v>0</v>
      </c>
      <c r="Z13" s="51">
        <f t="shared" si="1"/>
        <v>0</v>
      </c>
      <c r="AA13" s="51">
        <f t="shared" si="2"/>
        <v>0</v>
      </c>
      <c r="AB13" s="51"/>
      <c r="AC13" s="51"/>
      <c r="AD13" s="51"/>
      <c r="AE13" s="51">
        <f t="shared" si="3"/>
        <v>0</v>
      </c>
      <c r="AF13" s="51">
        <f t="shared" si="4"/>
        <v>0</v>
      </c>
      <c r="AG13" s="51">
        <f t="shared" si="5"/>
        <v>0</v>
      </c>
      <c r="AH13" s="51">
        <f t="shared" si="6"/>
        <v>0</v>
      </c>
      <c r="AI13" s="51">
        <f t="shared" si="7"/>
        <v>0</v>
      </c>
      <c r="AJ13" s="51">
        <f t="shared" si="8"/>
        <v>0</v>
      </c>
      <c r="AK13" s="51">
        <f t="shared" si="9"/>
        <v>0</v>
      </c>
      <c r="AL13" s="51">
        <f t="shared" si="10"/>
        <v>0</v>
      </c>
      <c r="AM13" s="51">
        <f t="shared" si="11"/>
        <v>0</v>
      </c>
      <c r="AN13" s="51">
        <f t="shared" si="12"/>
        <v>0</v>
      </c>
      <c r="AO13" s="51">
        <f t="shared" si="13"/>
        <v>0</v>
      </c>
      <c r="AP13" s="51">
        <f t="shared" si="14"/>
        <v>0</v>
      </c>
      <c r="AQ13" s="51">
        <f t="shared" si="15"/>
        <v>0</v>
      </c>
      <c r="AR13" s="51">
        <f t="shared" si="16"/>
        <v>0</v>
      </c>
      <c r="AS13" s="51">
        <f t="shared" si="17"/>
        <v>0</v>
      </c>
    </row>
    <row r="14" spans="1:45">
      <c r="A14" s="51"/>
      <c r="B14" s="51"/>
      <c r="C14" s="51"/>
      <c r="D14" s="51"/>
      <c r="E14" s="51"/>
      <c r="F14" s="51"/>
      <c r="G14" s="51"/>
      <c r="H14" s="51"/>
      <c r="I14" s="51"/>
      <c r="J14" s="51"/>
      <c r="K14" s="51"/>
      <c r="L14" s="51"/>
      <c r="M14" s="51"/>
      <c r="N14" s="51"/>
      <c r="O14" s="51"/>
      <c r="P14" s="51"/>
      <c r="Q14" s="51"/>
      <c r="R14" s="51"/>
      <c r="S14" s="51"/>
      <c r="T14" s="51"/>
      <c r="U14" s="51"/>
      <c r="V14" s="51"/>
      <c r="W14" s="51"/>
      <c r="X14" s="51"/>
      <c r="Y14" s="51">
        <f t="shared" si="0"/>
        <v>0</v>
      </c>
      <c r="Z14" s="51">
        <f t="shared" si="1"/>
        <v>0</v>
      </c>
      <c r="AA14" s="51">
        <f t="shared" si="2"/>
        <v>0</v>
      </c>
      <c r="AB14" s="51"/>
      <c r="AC14" s="51"/>
      <c r="AD14" s="51"/>
      <c r="AE14" s="51">
        <f t="shared" si="3"/>
        <v>0</v>
      </c>
      <c r="AF14" s="51">
        <f t="shared" si="4"/>
        <v>0</v>
      </c>
      <c r="AG14" s="51">
        <f t="shared" si="5"/>
        <v>0</v>
      </c>
      <c r="AH14" s="51">
        <f t="shared" si="6"/>
        <v>0</v>
      </c>
      <c r="AI14" s="51">
        <f t="shared" si="7"/>
        <v>0</v>
      </c>
      <c r="AJ14" s="51">
        <f t="shared" si="8"/>
        <v>0</v>
      </c>
      <c r="AK14" s="51">
        <f t="shared" si="9"/>
        <v>0</v>
      </c>
      <c r="AL14" s="51">
        <f t="shared" si="10"/>
        <v>0</v>
      </c>
      <c r="AM14" s="51">
        <f t="shared" si="11"/>
        <v>0</v>
      </c>
      <c r="AN14" s="51">
        <f t="shared" si="12"/>
        <v>0</v>
      </c>
      <c r="AO14" s="51">
        <f t="shared" si="13"/>
        <v>0</v>
      </c>
      <c r="AP14" s="51">
        <f t="shared" si="14"/>
        <v>0</v>
      </c>
      <c r="AQ14" s="51">
        <f t="shared" si="15"/>
        <v>0</v>
      </c>
      <c r="AR14" s="51">
        <f t="shared" si="16"/>
        <v>0</v>
      </c>
      <c r="AS14" s="51">
        <f t="shared" si="17"/>
        <v>0</v>
      </c>
    </row>
    <row r="15" spans="1:45">
      <c r="A15" s="51"/>
      <c r="B15" s="51"/>
      <c r="C15" s="51"/>
      <c r="D15" s="51"/>
      <c r="E15" s="51"/>
      <c r="F15" s="51"/>
      <c r="G15" s="51"/>
      <c r="H15" s="51"/>
      <c r="I15" s="51"/>
      <c r="J15" s="51"/>
      <c r="K15" s="51"/>
      <c r="L15" s="51"/>
      <c r="M15" s="51"/>
      <c r="N15" s="51"/>
      <c r="O15" s="51"/>
      <c r="P15" s="51"/>
      <c r="Q15" s="51"/>
      <c r="R15" s="51"/>
      <c r="S15" s="51"/>
      <c r="T15" s="51"/>
      <c r="U15" s="51"/>
      <c r="V15" s="51"/>
      <c r="W15" s="51"/>
      <c r="X15" s="51"/>
      <c r="Y15" s="51">
        <f t="shared" si="0"/>
        <v>0</v>
      </c>
      <c r="Z15" s="51">
        <f t="shared" si="1"/>
        <v>0</v>
      </c>
      <c r="AA15" s="51">
        <f t="shared" si="2"/>
        <v>0</v>
      </c>
      <c r="AB15" s="51"/>
      <c r="AC15" s="51"/>
      <c r="AD15" s="51"/>
      <c r="AE15" s="51">
        <f t="shared" si="3"/>
        <v>0</v>
      </c>
      <c r="AF15" s="51">
        <f t="shared" si="4"/>
        <v>0</v>
      </c>
      <c r="AG15" s="51">
        <f t="shared" si="5"/>
        <v>0</v>
      </c>
      <c r="AH15" s="51">
        <f t="shared" si="6"/>
        <v>0</v>
      </c>
      <c r="AI15" s="51">
        <f t="shared" si="7"/>
        <v>0</v>
      </c>
      <c r="AJ15" s="51">
        <f t="shared" si="8"/>
        <v>0</v>
      </c>
      <c r="AK15" s="51">
        <f t="shared" si="9"/>
        <v>0</v>
      </c>
      <c r="AL15" s="51">
        <f t="shared" si="10"/>
        <v>0</v>
      </c>
      <c r="AM15" s="51">
        <f t="shared" si="11"/>
        <v>0</v>
      </c>
      <c r="AN15" s="51">
        <f t="shared" si="12"/>
        <v>0</v>
      </c>
      <c r="AO15" s="51">
        <f t="shared" si="13"/>
        <v>0</v>
      </c>
      <c r="AP15" s="51">
        <f t="shared" si="14"/>
        <v>0</v>
      </c>
      <c r="AQ15" s="51">
        <f t="shared" si="15"/>
        <v>0</v>
      </c>
      <c r="AR15" s="51">
        <f t="shared" si="16"/>
        <v>0</v>
      </c>
      <c r="AS15" s="51">
        <f t="shared" si="17"/>
        <v>0</v>
      </c>
    </row>
    <row r="16" spans="1:45">
      <c r="A16" s="51"/>
      <c r="B16" s="51"/>
      <c r="C16" s="51"/>
      <c r="D16" s="51"/>
      <c r="E16" s="51"/>
      <c r="F16" s="51"/>
      <c r="G16" s="51"/>
      <c r="H16" s="51"/>
      <c r="I16" s="51"/>
      <c r="J16" s="51"/>
      <c r="K16" s="51"/>
      <c r="L16" s="51"/>
      <c r="M16" s="51"/>
      <c r="N16" s="51"/>
      <c r="O16" s="51"/>
      <c r="P16" s="51"/>
      <c r="Q16" s="51"/>
      <c r="R16" s="51"/>
      <c r="S16" s="51"/>
      <c r="T16" s="51"/>
      <c r="U16" s="51"/>
      <c r="V16" s="51"/>
      <c r="W16" s="51"/>
      <c r="X16" s="51"/>
      <c r="Y16" s="51">
        <f t="shared" si="0"/>
        <v>0</v>
      </c>
      <c r="Z16" s="51">
        <f t="shared" si="1"/>
        <v>0</v>
      </c>
      <c r="AA16" s="51">
        <f t="shared" si="2"/>
        <v>0</v>
      </c>
      <c r="AB16" s="51"/>
      <c r="AC16" s="51"/>
      <c r="AD16" s="51"/>
      <c r="AE16" s="51">
        <f t="shared" si="3"/>
        <v>0</v>
      </c>
      <c r="AF16" s="51">
        <f t="shared" si="4"/>
        <v>0</v>
      </c>
      <c r="AG16" s="51">
        <f t="shared" si="5"/>
        <v>0</v>
      </c>
      <c r="AH16" s="51">
        <f t="shared" si="6"/>
        <v>0</v>
      </c>
      <c r="AI16" s="51">
        <f t="shared" si="7"/>
        <v>0</v>
      </c>
      <c r="AJ16" s="51">
        <f t="shared" si="8"/>
        <v>0</v>
      </c>
      <c r="AK16" s="51">
        <f t="shared" si="9"/>
        <v>0</v>
      </c>
      <c r="AL16" s="51">
        <f t="shared" si="10"/>
        <v>0</v>
      </c>
      <c r="AM16" s="51">
        <f t="shared" si="11"/>
        <v>0</v>
      </c>
      <c r="AN16" s="51">
        <f t="shared" si="12"/>
        <v>0</v>
      </c>
      <c r="AO16" s="51">
        <f t="shared" si="13"/>
        <v>0</v>
      </c>
      <c r="AP16" s="51">
        <f t="shared" si="14"/>
        <v>0</v>
      </c>
      <c r="AQ16" s="51">
        <f t="shared" si="15"/>
        <v>0</v>
      </c>
      <c r="AR16" s="51">
        <f t="shared" si="16"/>
        <v>0</v>
      </c>
      <c r="AS16" s="51">
        <f t="shared" si="17"/>
        <v>0</v>
      </c>
    </row>
    <row r="17" spans="1:45">
      <c r="A17" s="51"/>
      <c r="B17" s="51"/>
      <c r="C17" s="51"/>
      <c r="D17" s="51"/>
      <c r="E17" s="51"/>
      <c r="F17" s="51"/>
      <c r="G17" s="51"/>
      <c r="H17" s="51"/>
      <c r="I17" s="51"/>
      <c r="J17" s="51"/>
      <c r="K17" s="51"/>
      <c r="L17" s="51"/>
      <c r="M17" s="51"/>
      <c r="N17" s="51"/>
      <c r="O17" s="51"/>
      <c r="P17" s="51"/>
      <c r="Q17" s="51"/>
      <c r="R17" s="51"/>
      <c r="S17" s="51"/>
      <c r="T17" s="51"/>
      <c r="U17" s="51"/>
      <c r="V17" s="51"/>
      <c r="W17" s="51"/>
      <c r="X17" s="51"/>
      <c r="Y17" s="51">
        <f t="shared" si="0"/>
        <v>0</v>
      </c>
      <c r="Z17" s="51">
        <f t="shared" si="1"/>
        <v>0</v>
      </c>
      <c r="AA17" s="51">
        <f t="shared" si="2"/>
        <v>0</v>
      </c>
      <c r="AB17" s="51"/>
      <c r="AC17" s="51"/>
      <c r="AD17" s="51"/>
      <c r="AE17" s="51">
        <f t="shared" si="3"/>
        <v>0</v>
      </c>
      <c r="AF17" s="51">
        <f t="shared" si="4"/>
        <v>0</v>
      </c>
      <c r="AG17" s="51">
        <f t="shared" si="5"/>
        <v>0</v>
      </c>
      <c r="AH17" s="51">
        <f t="shared" si="6"/>
        <v>0</v>
      </c>
      <c r="AI17" s="51">
        <f t="shared" si="7"/>
        <v>0</v>
      </c>
      <c r="AJ17" s="51">
        <f t="shared" si="8"/>
        <v>0</v>
      </c>
      <c r="AK17" s="51">
        <f t="shared" si="9"/>
        <v>0</v>
      </c>
      <c r="AL17" s="51">
        <f t="shared" si="10"/>
        <v>0</v>
      </c>
      <c r="AM17" s="51">
        <f t="shared" si="11"/>
        <v>0</v>
      </c>
      <c r="AN17" s="51">
        <f t="shared" si="12"/>
        <v>0</v>
      </c>
      <c r="AO17" s="51">
        <f t="shared" si="13"/>
        <v>0</v>
      </c>
      <c r="AP17" s="51">
        <f t="shared" si="14"/>
        <v>0</v>
      </c>
      <c r="AQ17" s="51">
        <f t="shared" si="15"/>
        <v>0</v>
      </c>
      <c r="AR17" s="51">
        <f t="shared" si="16"/>
        <v>0</v>
      </c>
      <c r="AS17" s="51">
        <f t="shared" si="17"/>
        <v>0</v>
      </c>
    </row>
    <row r="18" spans="1:45">
      <c r="A18" s="51"/>
      <c r="B18" s="51"/>
      <c r="C18" s="51"/>
      <c r="D18" s="51"/>
      <c r="E18" s="51"/>
      <c r="F18" s="51"/>
      <c r="G18" s="51"/>
      <c r="H18" s="51"/>
      <c r="I18" s="51"/>
      <c r="J18" s="51"/>
      <c r="K18" s="51"/>
      <c r="L18" s="51"/>
      <c r="M18" s="51"/>
      <c r="N18" s="51"/>
      <c r="O18" s="51"/>
      <c r="P18" s="51"/>
      <c r="Q18" s="51"/>
      <c r="R18" s="51"/>
      <c r="S18" s="51"/>
      <c r="T18" s="51"/>
      <c r="U18" s="51"/>
      <c r="V18" s="51"/>
      <c r="W18" s="51"/>
      <c r="X18" s="51"/>
      <c r="Y18" s="51">
        <f t="shared" si="0"/>
        <v>0</v>
      </c>
      <c r="Z18" s="51">
        <f t="shared" si="1"/>
        <v>0</v>
      </c>
      <c r="AA18" s="51">
        <f t="shared" si="2"/>
        <v>0</v>
      </c>
      <c r="AB18" s="51"/>
      <c r="AC18" s="51"/>
      <c r="AD18" s="51"/>
      <c r="AE18" s="51">
        <f t="shared" si="3"/>
        <v>0</v>
      </c>
      <c r="AF18" s="51">
        <f t="shared" si="4"/>
        <v>0</v>
      </c>
      <c r="AG18" s="51">
        <f t="shared" si="5"/>
        <v>0</v>
      </c>
      <c r="AH18" s="51">
        <f t="shared" si="6"/>
        <v>0</v>
      </c>
      <c r="AI18" s="51">
        <f t="shared" si="7"/>
        <v>0</v>
      </c>
      <c r="AJ18" s="51">
        <f t="shared" si="8"/>
        <v>0</v>
      </c>
      <c r="AK18" s="51">
        <f t="shared" si="9"/>
        <v>0</v>
      </c>
      <c r="AL18" s="51">
        <f t="shared" si="10"/>
        <v>0</v>
      </c>
      <c r="AM18" s="51">
        <f t="shared" si="11"/>
        <v>0</v>
      </c>
      <c r="AN18" s="51">
        <f t="shared" si="12"/>
        <v>0</v>
      </c>
      <c r="AO18" s="51">
        <f t="shared" si="13"/>
        <v>0</v>
      </c>
      <c r="AP18" s="51">
        <f t="shared" si="14"/>
        <v>0</v>
      </c>
      <c r="AQ18" s="51">
        <f t="shared" si="15"/>
        <v>0</v>
      </c>
      <c r="AR18" s="51">
        <f t="shared" si="16"/>
        <v>0</v>
      </c>
      <c r="AS18" s="51">
        <f t="shared" si="17"/>
        <v>0</v>
      </c>
    </row>
    <row r="19" spans="1:45">
      <c r="A19" s="51"/>
      <c r="B19" s="51"/>
      <c r="C19" s="51"/>
      <c r="D19" s="51"/>
      <c r="E19" s="51"/>
      <c r="F19" s="51"/>
      <c r="G19" s="51"/>
      <c r="H19" s="51"/>
      <c r="I19" s="51"/>
      <c r="J19" s="51"/>
      <c r="K19" s="51"/>
      <c r="L19" s="51"/>
      <c r="M19" s="51"/>
      <c r="N19" s="51"/>
      <c r="O19" s="51"/>
      <c r="P19" s="51"/>
      <c r="Q19" s="51"/>
      <c r="R19" s="51"/>
      <c r="S19" s="51"/>
      <c r="T19" s="51"/>
      <c r="U19" s="51"/>
      <c r="V19" s="51"/>
      <c r="W19" s="51"/>
      <c r="X19" s="51"/>
      <c r="Y19" s="51">
        <f t="shared" si="0"/>
        <v>0</v>
      </c>
      <c r="Z19" s="51">
        <f t="shared" si="1"/>
        <v>0</v>
      </c>
      <c r="AA19" s="51">
        <f t="shared" si="2"/>
        <v>0</v>
      </c>
      <c r="AB19" s="51"/>
      <c r="AC19" s="51"/>
      <c r="AD19" s="51"/>
      <c r="AE19" s="51">
        <f t="shared" si="3"/>
        <v>0</v>
      </c>
      <c r="AF19" s="51">
        <f t="shared" si="4"/>
        <v>0</v>
      </c>
      <c r="AG19" s="51">
        <f t="shared" si="5"/>
        <v>0</v>
      </c>
      <c r="AH19" s="51">
        <f t="shared" si="6"/>
        <v>0</v>
      </c>
      <c r="AI19" s="51">
        <f t="shared" si="7"/>
        <v>0</v>
      </c>
      <c r="AJ19" s="51">
        <f t="shared" si="8"/>
        <v>0</v>
      </c>
      <c r="AK19" s="51">
        <f t="shared" si="9"/>
        <v>0</v>
      </c>
      <c r="AL19" s="51">
        <f t="shared" si="10"/>
        <v>0</v>
      </c>
      <c r="AM19" s="51">
        <f t="shared" si="11"/>
        <v>0</v>
      </c>
      <c r="AN19" s="51">
        <f t="shared" si="12"/>
        <v>0</v>
      </c>
      <c r="AO19" s="51">
        <f t="shared" si="13"/>
        <v>0</v>
      </c>
      <c r="AP19" s="51">
        <f t="shared" si="14"/>
        <v>0</v>
      </c>
      <c r="AQ19" s="51">
        <f t="shared" si="15"/>
        <v>0</v>
      </c>
      <c r="AR19" s="51">
        <f t="shared" si="16"/>
        <v>0</v>
      </c>
      <c r="AS19" s="51">
        <f t="shared" si="17"/>
        <v>0</v>
      </c>
    </row>
    <row r="20" spans="1:45">
      <c r="A20" s="51"/>
      <c r="B20" s="51"/>
      <c r="C20" s="51"/>
      <c r="D20" s="51"/>
      <c r="E20" s="51"/>
      <c r="F20" s="51"/>
      <c r="G20" s="51"/>
      <c r="H20" s="51"/>
      <c r="I20" s="51"/>
      <c r="J20" s="51"/>
      <c r="K20" s="51"/>
      <c r="L20" s="51"/>
      <c r="M20" s="51"/>
      <c r="N20" s="51"/>
      <c r="O20" s="51"/>
      <c r="P20" s="51"/>
      <c r="Q20" s="51"/>
      <c r="R20" s="51"/>
      <c r="S20" s="51"/>
      <c r="T20" s="51"/>
      <c r="U20" s="51"/>
      <c r="V20" s="51"/>
      <c r="W20" s="51"/>
      <c r="X20" s="51"/>
      <c r="Y20" s="51">
        <f t="shared" si="0"/>
        <v>0</v>
      </c>
      <c r="Z20" s="51">
        <f t="shared" si="1"/>
        <v>0</v>
      </c>
      <c r="AA20" s="51">
        <f t="shared" si="2"/>
        <v>0</v>
      </c>
      <c r="AB20" s="51"/>
      <c r="AC20" s="51"/>
      <c r="AD20" s="51"/>
      <c r="AE20" s="51">
        <f t="shared" si="3"/>
        <v>0</v>
      </c>
      <c r="AF20" s="51">
        <f t="shared" si="4"/>
        <v>0</v>
      </c>
      <c r="AG20" s="51">
        <f t="shared" si="5"/>
        <v>0</v>
      </c>
      <c r="AH20" s="51">
        <f t="shared" si="6"/>
        <v>0</v>
      </c>
      <c r="AI20" s="51">
        <f t="shared" si="7"/>
        <v>0</v>
      </c>
      <c r="AJ20" s="51">
        <f t="shared" si="8"/>
        <v>0</v>
      </c>
      <c r="AK20" s="51">
        <f t="shared" si="9"/>
        <v>0</v>
      </c>
      <c r="AL20" s="51">
        <f t="shared" si="10"/>
        <v>0</v>
      </c>
      <c r="AM20" s="51">
        <f t="shared" si="11"/>
        <v>0</v>
      </c>
      <c r="AN20" s="51">
        <f t="shared" si="12"/>
        <v>0</v>
      </c>
      <c r="AO20" s="51">
        <f t="shared" si="13"/>
        <v>0</v>
      </c>
      <c r="AP20" s="51">
        <f t="shared" si="14"/>
        <v>0</v>
      </c>
      <c r="AQ20" s="51">
        <f t="shared" si="15"/>
        <v>0</v>
      </c>
      <c r="AR20" s="51">
        <f t="shared" si="16"/>
        <v>0</v>
      </c>
      <c r="AS20" s="51">
        <f t="shared" si="17"/>
        <v>0</v>
      </c>
    </row>
    <row r="21" spans="1:45">
      <c r="A21" s="51"/>
      <c r="B21" s="51"/>
      <c r="C21" s="51"/>
      <c r="D21" s="51"/>
      <c r="E21" s="51"/>
      <c r="F21" s="51"/>
      <c r="G21" s="51"/>
      <c r="H21" s="51"/>
      <c r="I21" s="51"/>
      <c r="J21" s="51"/>
      <c r="K21" s="51"/>
      <c r="L21" s="51"/>
      <c r="M21" s="51"/>
      <c r="N21" s="51"/>
      <c r="O21" s="51"/>
      <c r="P21" s="51"/>
      <c r="Q21" s="51"/>
      <c r="R21" s="51"/>
      <c r="S21" s="51"/>
      <c r="T21" s="51"/>
      <c r="U21" s="51"/>
      <c r="V21" s="51"/>
      <c r="W21" s="51"/>
      <c r="X21" s="51"/>
      <c r="Y21" s="51">
        <f t="shared" si="0"/>
        <v>0</v>
      </c>
      <c r="Z21" s="51">
        <f t="shared" si="1"/>
        <v>0</v>
      </c>
      <c r="AA21" s="51">
        <f t="shared" si="2"/>
        <v>0</v>
      </c>
      <c r="AB21" s="51"/>
      <c r="AC21" s="51"/>
      <c r="AD21" s="51"/>
      <c r="AE21" s="51">
        <f t="shared" si="3"/>
        <v>0</v>
      </c>
      <c r="AF21" s="51">
        <f t="shared" si="4"/>
        <v>0</v>
      </c>
      <c r="AG21" s="51">
        <f t="shared" si="5"/>
        <v>0</v>
      </c>
      <c r="AH21" s="51">
        <f t="shared" si="6"/>
        <v>0</v>
      </c>
      <c r="AI21" s="51">
        <f t="shared" si="7"/>
        <v>0</v>
      </c>
      <c r="AJ21" s="51">
        <f t="shared" si="8"/>
        <v>0</v>
      </c>
      <c r="AK21" s="51">
        <f t="shared" si="9"/>
        <v>0</v>
      </c>
      <c r="AL21" s="51">
        <f t="shared" si="10"/>
        <v>0</v>
      </c>
      <c r="AM21" s="51">
        <f t="shared" si="11"/>
        <v>0</v>
      </c>
      <c r="AN21" s="51">
        <f t="shared" si="12"/>
        <v>0</v>
      </c>
      <c r="AO21" s="51">
        <f t="shared" si="13"/>
        <v>0</v>
      </c>
      <c r="AP21" s="51">
        <f t="shared" si="14"/>
        <v>0</v>
      </c>
      <c r="AQ21" s="51">
        <f t="shared" si="15"/>
        <v>0</v>
      </c>
      <c r="AR21" s="51">
        <f t="shared" si="16"/>
        <v>0</v>
      </c>
      <c r="AS21" s="51">
        <f t="shared" si="17"/>
        <v>0</v>
      </c>
    </row>
    <row r="22" spans="1:45">
      <c r="A22" s="51"/>
      <c r="B22" s="51"/>
      <c r="C22" s="51"/>
      <c r="D22" s="51"/>
      <c r="E22" s="51"/>
      <c r="F22" s="51"/>
      <c r="G22" s="51"/>
      <c r="H22" s="51"/>
      <c r="I22" s="51"/>
      <c r="J22" s="51"/>
      <c r="K22" s="51"/>
      <c r="L22" s="51"/>
      <c r="M22" s="51"/>
      <c r="N22" s="51"/>
      <c r="O22" s="51"/>
      <c r="P22" s="51"/>
      <c r="Q22" s="51"/>
      <c r="R22" s="51"/>
      <c r="S22" s="51"/>
      <c r="T22" s="51"/>
      <c r="U22" s="51"/>
      <c r="V22" s="51"/>
      <c r="W22" s="51"/>
      <c r="X22" s="51"/>
      <c r="Y22" s="51">
        <f t="shared" si="0"/>
        <v>0</v>
      </c>
      <c r="Z22" s="51">
        <f t="shared" si="1"/>
        <v>0</v>
      </c>
      <c r="AA22" s="51">
        <f t="shared" si="2"/>
        <v>0</v>
      </c>
      <c r="AB22" s="51"/>
      <c r="AC22" s="51"/>
      <c r="AD22" s="51"/>
      <c r="AE22" s="51">
        <f t="shared" si="3"/>
        <v>0</v>
      </c>
      <c r="AF22" s="51">
        <f t="shared" si="4"/>
        <v>0</v>
      </c>
      <c r="AG22" s="51">
        <f t="shared" si="5"/>
        <v>0</v>
      </c>
      <c r="AH22" s="51">
        <f t="shared" si="6"/>
        <v>0</v>
      </c>
      <c r="AI22" s="51">
        <f t="shared" si="7"/>
        <v>0</v>
      </c>
      <c r="AJ22" s="51">
        <f t="shared" si="8"/>
        <v>0</v>
      </c>
      <c r="AK22" s="51">
        <f t="shared" si="9"/>
        <v>0</v>
      </c>
      <c r="AL22" s="51">
        <f t="shared" si="10"/>
        <v>0</v>
      </c>
      <c r="AM22" s="51">
        <f t="shared" si="11"/>
        <v>0</v>
      </c>
      <c r="AN22" s="51">
        <f t="shared" si="12"/>
        <v>0</v>
      </c>
      <c r="AO22" s="51">
        <f t="shared" si="13"/>
        <v>0</v>
      </c>
      <c r="AP22" s="51">
        <f t="shared" si="14"/>
        <v>0</v>
      </c>
      <c r="AQ22" s="51">
        <f t="shared" si="15"/>
        <v>0</v>
      </c>
      <c r="AR22" s="51">
        <f t="shared" si="16"/>
        <v>0</v>
      </c>
      <c r="AS22" s="51">
        <f t="shared" si="17"/>
        <v>0</v>
      </c>
    </row>
    <row r="23" spans="1:45">
      <c r="A23" s="51"/>
      <c r="B23" s="51"/>
      <c r="C23" s="51"/>
      <c r="D23" s="51"/>
      <c r="E23" s="51"/>
      <c r="F23" s="51"/>
      <c r="G23" s="51"/>
      <c r="H23" s="51"/>
      <c r="I23" s="51"/>
      <c r="J23" s="51"/>
      <c r="K23" s="51"/>
      <c r="L23" s="51"/>
      <c r="M23" s="51"/>
      <c r="N23" s="51"/>
      <c r="O23" s="51"/>
      <c r="P23" s="51"/>
      <c r="Q23" s="51"/>
      <c r="R23" s="51"/>
      <c r="S23" s="51"/>
      <c r="T23" s="51"/>
      <c r="U23" s="51"/>
      <c r="V23" s="51"/>
      <c r="W23" s="51"/>
      <c r="X23" s="51"/>
      <c r="Y23" s="51">
        <f t="shared" si="0"/>
        <v>0</v>
      </c>
      <c r="Z23" s="51">
        <f t="shared" si="1"/>
        <v>0</v>
      </c>
      <c r="AA23" s="51">
        <f t="shared" si="2"/>
        <v>0</v>
      </c>
      <c r="AB23" s="51"/>
      <c r="AC23" s="51"/>
      <c r="AD23" s="51"/>
      <c r="AE23" s="51">
        <f t="shared" si="3"/>
        <v>0</v>
      </c>
      <c r="AF23" s="51">
        <f t="shared" si="4"/>
        <v>0</v>
      </c>
      <c r="AG23" s="51">
        <f t="shared" si="5"/>
        <v>0</v>
      </c>
      <c r="AH23" s="51">
        <f t="shared" si="6"/>
        <v>0</v>
      </c>
      <c r="AI23" s="51">
        <f t="shared" si="7"/>
        <v>0</v>
      </c>
      <c r="AJ23" s="51">
        <f t="shared" si="8"/>
        <v>0</v>
      </c>
      <c r="AK23" s="51">
        <f t="shared" si="9"/>
        <v>0</v>
      </c>
      <c r="AL23" s="51">
        <f t="shared" si="10"/>
        <v>0</v>
      </c>
      <c r="AM23" s="51">
        <f t="shared" si="11"/>
        <v>0</v>
      </c>
      <c r="AN23" s="51">
        <f t="shared" si="12"/>
        <v>0</v>
      </c>
      <c r="AO23" s="51">
        <f t="shared" si="13"/>
        <v>0</v>
      </c>
      <c r="AP23" s="51">
        <f t="shared" si="14"/>
        <v>0</v>
      </c>
      <c r="AQ23" s="51">
        <f t="shared" si="15"/>
        <v>0</v>
      </c>
      <c r="AR23" s="51">
        <f t="shared" si="16"/>
        <v>0</v>
      </c>
      <c r="AS23" s="51">
        <f t="shared" si="17"/>
        <v>0</v>
      </c>
    </row>
    <row r="24" spans="1:45">
      <c r="A24" s="51"/>
      <c r="B24" s="51"/>
      <c r="C24" s="51"/>
      <c r="D24" s="51"/>
      <c r="E24" s="51"/>
      <c r="F24" s="51"/>
      <c r="G24" s="51"/>
      <c r="H24" s="51"/>
      <c r="I24" s="51"/>
      <c r="J24" s="51"/>
      <c r="K24" s="51"/>
      <c r="L24" s="51"/>
      <c r="M24" s="51"/>
      <c r="N24" s="51"/>
      <c r="O24" s="51"/>
      <c r="P24" s="51"/>
      <c r="Q24" s="51"/>
      <c r="R24" s="51"/>
      <c r="S24" s="51"/>
      <c r="T24" s="51"/>
      <c r="U24" s="51"/>
      <c r="V24" s="51"/>
      <c r="W24" s="51"/>
      <c r="X24" s="51"/>
      <c r="Y24" s="51">
        <f t="shared" si="0"/>
        <v>0</v>
      </c>
      <c r="Z24" s="51">
        <f t="shared" si="1"/>
        <v>0</v>
      </c>
      <c r="AA24" s="51">
        <f t="shared" si="2"/>
        <v>0</v>
      </c>
      <c r="AB24" s="51"/>
      <c r="AC24" s="51"/>
      <c r="AD24" s="51"/>
      <c r="AE24" s="51">
        <f t="shared" si="3"/>
        <v>0</v>
      </c>
      <c r="AF24" s="51">
        <f t="shared" si="4"/>
        <v>0</v>
      </c>
      <c r="AG24" s="51">
        <f t="shared" si="5"/>
        <v>0</v>
      </c>
      <c r="AH24" s="51">
        <f t="shared" si="6"/>
        <v>0</v>
      </c>
      <c r="AI24" s="51">
        <f t="shared" si="7"/>
        <v>0</v>
      </c>
      <c r="AJ24" s="51">
        <f t="shared" si="8"/>
        <v>0</v>
      </c>
      <c r="AK24" s="51">
        <f t="shared" si="9"/>
        <v>0</v>
      </c>
      <c r="AL24" s="51">
        <f t="shared" si="10"/>
        <v>0</v>
      </c>
      <c r="AM24" s="51">
        <f t="shared" si="11"/>
        <v>0</v>
      </c>
      <c r="AN24" s="51">
        <f t="shared" si="12"/>
        <v>0</v>
      </c>
      <c r="AO24" s="51">
        <f t="shared" si="13"/>
        <v>0</v>
      </c>
      <c r="AP24" s="51">
        <f t="shared" si="14"/>
        <v>0</v>
      </c>
      <c r="AQ24" s="51">
        <f t="shared" si="15"/>
        <v>0</v>
      </c>
      <c r="AR24" s="51">
        <f t="shared" si="16"/>
        <v>0</v>
      </c>
      <c r="AS24" s="51">
        <f t="shared" si="17"/>
        <v>0</v>
      </c>
    </row>
    <row r="25" spans="1:45">
      <c r="A25" s="51"/>
      <c r="B25" s="51"/>
      <c r="C25" s="51"/>
      <c r="D25" s="51"/>
      <c r="E25" s="51"/>
      <c r="F25" s="51"/>
      <c r="G25" s="51"/>
      <c r="H25" s="51"/>
      <c r="I25" s="51"/>
      <c r="J25" s="51"/>
      <c r="K25" s="51"/>
      <c r="L25" s="51"/>
      <c r="M25" s="51"/>
      <c r="N25" s="51"/>
      <c r="O25" s="51"/>
      <c r="P25" s="51"/>
      <c r="Q25" s="51"/>
      <c r="R25" s="51"/>
      <c r="S25" s="51"/>
      <c r="T25" s="51"/>
      <c r="U25" s="51"/>
      <c r="V25" s="51"/>
      <c r="W25" s="51"/>
      <c r="X25" s="51"/>
      <c r="Y25" s="51">
        <f t="shared" si="0"/>
        <v>0</v>
      </c>
      <c r="Z25" s="51">
        <f t="shared" si="1"/>
        <v>0</v>
      </c>
      <c r="AA25" s="51">
        <f t="shared" si="2"/>
        <v>0</v>
      </c>
      <c r="AB25" s="51"/>
      <c r="AC25" s="51"/>
      <c r="AD25" s="51"/>
      <c r="AE25" s="51">
        <f t="shared" si="3"/>
        <v>0</v>
      </c>
      <c r="AF25" s="51">
        <f t="shared" si="4"/>
        <v>0</v>
      </c>
      <c r="AG25" s="51">
        <f t="shared" si="5"/>
        <v>0</v>
      </c>
      <c r="AH25" s="51">
        <f t="shared" si="6"/>
        <v>0</v>
      </c>
      <c r="AI25" s="51">
        <f t="shared" si="7"/>
        <v>0</v>
      </c>
      <c r="AJ25" s="51">
        <f t="shared" si="8"/>
        <v>0</v>
      </c>
      <c r="AK25" s="51">
        <f t="shared" si="9"/>
        <v>0</v>
      </c>
      <c r="AL25" s="51">
        <f t="shared" si="10"/>
        <v>0</v>
      </c>
      <c r="AM25" s="51">
        <f t="shared" si="11"/>
        <v>0</v>
      </c>
      <c r="AN25" s="51">
        <f t="shared" si="12"/>
        <v>0</v>
      </c>
      <c r="AO25" s="51">
        <f t="shared" si="13"/>
        <v>0</v>
      </c>
      <c r="AP25" s="51">
        <f t="shared" si="14"/>
        <v>0</v>
      </c>
      <c r="AQ25" s="51">
        <f t="shared" si="15"/>
        <v>0</v>
      </c>
      <c r="AR25" s="51">
        <f t="shared" si="16"/>
        <v>0</v>
      </c>
      <c r="AS25" s="51">
        <f t="shared" si="17"/>
        <v>0</v>
      </c>
    </row>
    <row r="26" spans="1:45">
      <c r="A26" s="51"/>
      <c r="B26" s="51"/>
      <c r="C26" s="51"/>
      <c r="D26" s="51"/>
      <c r="E26" s="51"/>
      <c r="F26" s="51"/>
      <c r="G26" s="51"/>
      <c r="H26" s="51"/>
      <c r="I26" s="51"/>
      <c r="J26" s="51"/>
      <c r="K26" s="51"/>
      <c r="L26" s="51"/>
      <c r="M26" s="51"/>
      <c r="N26" s="51"/>
      <c r="O26" s="51"/>
      <c r="P26" s="51"/>
      <c r="Q26" s="51"/>
      <c r="R26" s="51"/>
      <c r="S26" s="51"/>
      <c r="T26" s="51"/>
      <c r="U26" s="51"/>
      <c r="V26" s="51"/>
      <c r="W26" s="51"/>
      <c r="X26" s="51"/>
      <c r="Y26" s="51">
        <f t="shared" si="0"/>
        <v>0</v>
      </c>
      <c r="Z26" s="51">
        <f t="shared" si="1"/>
        <v>0</v>
      </c>
      <c r="AA26" s="51">
        <f t="shared" si="2"/>
        <v>0</v>
      </c>
      <c r="AB26" s="51"/>
      <c r="AC26" s="51"/>
      <c r="AD26" s="51"/>
      <c r="AE26" s="51">
        <f t="shared" si="3"/>
        <v>0</v>
      </c>
      <c r="AF26" s="51">
        <f t="shared" si="4"/>
        <v>0</v>
      </c>
      <c r="AG26" s="51">
        <f t="shared" si="5"/>
        <v>0</v>
      </c>
      <c r="AH26" s="51">
        <f t="shared" si="6"/>
        <v>0</v>
      </c>
      <c r="AI26" s="51">
        <f t="shared" si="7"/>
        <v>0</v>
      </c>
      <c r="AJ26" s="51">
        <f t="shared" si="8"/>
        <v>0</v>
      </c>
      <c r="AK26" s="51">
        <f t="shared" si="9"/>
        <v>0</v>
      </c>
      <c r="AL26" s="51">
        <f t="shared" si="10"/>
        <v>0</v>
      </c>
      <c r="AM26" s="51">
        <f t="shared" si="11"/>
        <v>0</v>
      </c>
      <c r="AN26" s="51">
        <f t="shared" si="12"/>
        <v>0</v>
      </c>
      <c r="AO26" s="51">
        <f t="shared" si="13"/>
        <v>0</v>
      </c>
      <c r="AP26" s="51">
        <f t="shared" si="14"/>
        <v>0</v>
      </c>
      <c r="AQ26" s="51">
        <f t="shared" si="15"/>
        <v>0</v>
      </c>
      <c r="AR26" s="51">
        <f t="shared" si="16"/>
        <v>0</v>
      </c>
      <c r="AS26" s="51">
        <f t="shared" si="17"/>
        <v>0</v>
      </c>
    </row>
    <row r="27" spans="1:45">
      <c r="A27" s="51"/>
      <c r="B27" s="51"/>
      <c r="C27" s="51"/>
      <c r="D27" s="51"/>
      <c r="E27" s="51"/>
      <c r="F27" s="51"/>
      <c r="G27" s="51"/>
      <c r="H27" s="51"/>
      <c r="I27" s="51"/>
      <c r="J27" s="51"/>
      <c r="K27" s="51"/>
      <c r="L27" s="51"/>
      <c r="M27" s="51"/>
      <c r="N27" s="51"/>
      <c r="O27" s="51"/>
      <c r="P27" s="51"/>
      <c r="Q27" s="51"/>
      <c r="R27" s="51"/>
      <c r="S27" s="51"/>
      <c r="T27" s="51"/>
      <c r="U27" s="51"/>
      <c r="V27" s="51"/>
      <c r="W27" s="51"/>
      <c r="X27" s="51"/>
      <c r="Y27" s="51">
        <f t="shared" si="0"/>
        <v>0</v>
      </c>
      <c r="Z27" s="51">
        <f t="shared" si="1"/>
        <v>0</v>
      </c>
      <c r="AA27" s="51">
        <f t="shared" si="2"/>
        <v>0</v>
      </c>
      <c r="AB27" s="51"/>
      <c r="AC27" s="51"/>
      <c r="AD27" s="51"/>
      <c r="AE27" s="51">
        <f t="shared" si="3"/>
        <v>0</v>
      </c>
      <c r="AF27" s="51">
        <f t="shared" si="4"/>
        <v>0</v>
      </c>
      <c r="AG27" s="51">
        <f t="shared" si="5"/>
        <v>0</v>
      </c>
      <c r="AH27" s="51">
        <f t="shared" si="6"/>
        <v>0</v>
      </c>
      <c r="AI27" s="51">
        <f t="shared" si="7"/>
        <v>0</v>
      </c>
      <c r="AJ27" s="51">
        <f t="shared" si="8"/>
        <v>0</v>
      </c>
      <c r="AK27" s="51">
        <f t="shared" si="9"/>
        <v>0</v>
      </c>
      <c r="AL27" s="51">
        <f t="shared" si="10"/>
        <v>0</v>
      </c>
      <c r="AM27" s="51">
        <f t="shared" si="11"/>
        <v>0</v>
      </c>
      <c r="AN27" s="51">
        <f t="shared" si="12"/>
        <v>0</v>
      </c>
      <c r="AO27" s="51">
        <f t="shared" si="13"/>
        <v>0</v>
      </c>
      <c r="AP27" s="51">
        <f t="shared" si="14"/>
        <v>0</v>
      </c>
      <c r="AQ27" s="51">
        <f t="shared" si="15"/>
        <v>0</v>
      </c>
      <c r="AR27" s="51">
        <f t="shared" si="16"/>
        <v>0</v>
      </c>
      <c r="AS27" s="51">
        <f t="shared" si="17"/>
        <v>0</v>
      </c>
    </row>
    <row r="28" spans="1:45">
      <c r="A28" s="51"/>
      <c r="B28" s="51"/>
      <c r="C28" s="51"/>
      <c r="D28" s="51"/>
      <c r="E28" s="51"/>
      <c r="F28" s="51"/>
      <c r="G28" s="51"/>
      <c r="H28" s="51"/>
      <c r="I28" s="51"/>
      <c r="J28" s="51"/>
      <c r="K28" s="51"/>
      <c r="L28" s="51"/>
      <c r="M28" s="51"/>
      <c r="N28" s="51"/>
      <c r="O28" s="51"/>
      <c r="P28" s="51"/>
      <c r="Q28" s="51"/>
      <c r="R28" s="51"/>
      <c r="S28" s="51"/>
      <c r="T28" s="51"/>
      <c r="U28" s="51"/>
      <c r="V28" s="51"/>
      <c r="W28" s="51"/>
      <c r="X28" s="51"/>
      <c r="Y28" s="51">
        <f t="shared" si="0"/>
        <v>0</v>
      </c>
      <c r="Z28" s="51">
        <f t="shared" si="1"/>
        <v>0</v>
      </c>
      <c r="AA28" s="51">
        <f t="shared" si="2"/>
        <v>0</v>
      </c>
      <c r="AB28" s="51"/>
      <c r="AC28" s="51"/>
      <c r="AD28" s="51"/>
      <c r="AE28" s="51">
        <f t="shared" si="3"/>
        <v>0</v>
      </c>
      <c r="AF28" s="51">
        <f t="shared" si="4"/>
        <v>0</v>
      </c>
      <c r="AG28" s="51">
        <f t="shared" si="5"/>
        <v>0</v>
      </c>
      <c r="AH28" s="51">
        <f t="shared" si="6"/>
        <v>0</v>
      </c>
      <c r="AI28" s="51">
        <f t="shared" si="7"/>
        <v>0</v>
      </c>
      <c r="AJ28" s="51">
        <f t="shared" si="8"/>
        <v>0</v>
      </c>
      <c r="AK28" s="51">
        <f t="shared" si="9"/>
        <v>0</v>
      </c>
      <c r="AL28" s="51">
        <f t="shared" si="10"/>
        <v>0</v>
      </c>
      <c r="AM28" s="51">
        <f t="shared" si="11"/>
        <v>0</v>
      </c>
      <c r="AN28" s="51">
        <f t="shared" si="12"/>
        <v>0</v>
      </c>
      <c r="AO28" s="51">
        <f t="shared" si="13"/>
        <v>0</v>
      </c>
      <c r="AP28" s="51">
        <f t="shared" si="14"/>
        <v>0</v>
      </c>
      <c r="AQ28" s="51">
        <f t="shared" si="15"/>
        <v>0</v>
      </c>
      <c r="AR28" s="51">
        <f t="shared" si="16"/>
        <v>0</v>
      </c>
      <c r="AS28" s="51">
        <f t="shared" si="17"/>
        <v>0</v>
      </c>
    </row>
    <row r="29" spans="1:45">
      <c r="A29" s="51"/>
      <c r="B29" s="51"/>
      <c r="C29" s="51"/>
      <c r="D29" s="51"/>
      <c r="E29" s="51"/>
      <c r="F29" s="51"/>
      <c r="G29" s="51"/>
      <c r="H29" s="51"/>
      <c r="I29" s="51"/>
      <c r="J29" s="51"/>
      <c r="K29" s="51"/>
      <c r="L29" s="51"/>
      <c r="M29" s="51"/>
      <c r="N29" s="51"/>
      <c r="O29" s="51"/>
      <c r="P29" s="51"/>
      <c r="Q29" s="51"/>
      <c r="R29" s="51"/>
      <c r="S29" s="51"/>
      <c r="T29" s="51"/>
      <c r="U29" s="51"/>
      <c r="V29" s="51"/>
      <c r="W29" s="51"/>
      <c r="X29" s="51"/>
      <c r="Y29" s="51">
        <f t="shared" si="0"/>
        <v>0</v>
      </c>
      <c r="Z29" s="51">
        <f t="shared" si="1"/>
        <v>0</v>
      </c>
      <c r="AA29" s="51">
        <f t="shared" si="2"/>
        <v>0</v>
      </c>
      <c r="AB29" s="51"/>
      <c r="AC29" s="51"/>
      <c r="AD29" s="51"/>
      <c r="AE29" s="51">
        <f t="shared" si="3"/>
        <v>0</v>
      </c>
      <c r="AF29" s="51">
        <f t="shared" si="4"/>
        <v>0</v>
      </c>
      <c r="AG29" s="51">
        <f t="shared" si="5"/>
        <v>0</v>
      </c>
      <c r="AH29" s="51">
        <f t="shared" si="6"/>
        <v>0</v>
      </c>
      <c r="AI29" s="51">
        <f t="shared" si="7"/>
        <v>0</v>
      </c>
      <c r="AJ29" s="51">
        <f t="shared" si="8"/>
        <v>0</v>
      </c>
      <c r="AK29" s="51">
        <f t="shared" si="9"/>
        <v>0</v>
      </c>
      <c r="AL29" s="51">
        <f t="shared" si="10"/>
        <v>0</v>
      </c>
      <c r="AM29" s="51">
        <f t="shared" si="11"/>
        <v>0</v>
      </c>
      <c r="AN29" s="51">
        <f t="shared" si="12"/>
        <v>0</v>
      </c>
      <c r="AO29" s="51">
        <f t="shared" si="13"/>
        <v>0</v>
      </c>
      <c r="AP29" s="51">
        <f t="shared" si="14"/>
        <v>0</v>
      </c>
      <c r="AQ29" s="51">
        <f t="shared" si="15"/>
        <v>0</v>
      </c>
      <c r="AR29" s="51">
        <f t="shared" si="16"/>
        <v>0</v>
      </c>
      <c r="AS29" s="51">
        <f t="shared" si="17"/>
        <v>0</v>
      </c>
    </row>
    <row r="30" spans="1:45">
      <c r="A30" s="51"/>
      <c r="B30" s="51"/>
      <c r="C30" s="51"/>
      <c r="D30" s="51"/>
      <c r="E30" s="51"/>
      <c r="F30" s="51"/>
      <c r="G30" s="51"/>
      <c r="H30" s="51"/>
      <c r="I30" s="51"/>
      <c r="J30" s="51"/>
      <c r="K30" s="51"/>
      <c r="L30" s="51"/>
      <c r="M30" s="51"/>
      <c r="N30" s="51"/>
      <c r="O30" s="51"/>
      <c r="P30" s="51"/>
      <c r="Q30" s="51"/>
      <c r="R30" s="51"/>
      <c r="S30" s="51"/>
      <c r="T30" s="51"/>
      <c r="U30" s="51"/>
      <c r="V30" s="51"/>
      <c r="W30" s="51"/>
      <c r="X30" s="51"/>
      <c r="Y30" s="51">
        <f t="shared" si="0"/>
        <v>0</v>
      </c>
      <c r="Z30" s="51">
        <f t="shared" si="1"/>
        <v>0</v>
      </c>
      <c r="AA30" s="51">
        <f t="shared" si="2"/>
        <v>0</v>
      </c>
      <c r="AB30" s="51"/>
      <c r="AC30" s="51"/>
      <c r="AD30" s="51"/>
      <c r="AE30" s="51">
        <f t="shared" si="3"/>
        <v>0</v>
      </c>
      <c r="AF30" s="51">
        <f t="shared" si="4"/>
        <v>0</v>
      </c>
      <c r="AG30" s="51">
        <f t="shared" si="5"/>
        <v>0</v>
      </c>
      <c r="AH30" s="51">
        <f t="shared" si="6"/>
        <v>0</v>
      </c>
      <c r="AI30" s="51">
        <f t="shared" si="7"/>
        <v>0</v>
      </c>
      <c r="AJ30" s="51">
        <f t="shared" si="8"/>
        <v>0</v>
      </c>
      <c r="AK30" s="51">
        <f t="shared" si="9"/>
        <v>0</v>
      </c>
      <c r="AL30" s="51">
        <f t="shared" si="10"/>
        <v>0</v>
      </c>
      <c r="AM30" s="51">
        <f t="shared" si="11"/>
        <v>0</v>
      </c>
      <c r="AN30" s="51">
        <f t="shared" si="12"/>
        <v>0</v>
      </c>
      <c r="AO30" s="51">
        <f t="shared" si="13"/>
        <v>0</v>
      </c>
      <c r="AP30" s="51">
        <f t="shared" si="14"/>
        <v>0</v>
      </c>
      <c r="AQ30" s="51">
        <f t="shared" si="15"/>
        <v>0</v>
      </c>
      <c r="AR30" s="51">
        <f t="shared" si="16"/>
        <v>0</v>
      </c>
      <c r="AS30" s="51">
        <f t="shared" si="17"/>
        <v>0</v>
      </c>
    </row>
    <row r="31" spans="1:45">
      <c r="A31" s="51"/>
      <c r="B31" s="51"/>
      <c r="C31" s="51"/>
      <c r="D31" s="51"/>
      <c r="E31" s="51"/>
      <c r="F31" s="51"/>
      <c r="G31" s="51"/>
      <c r="H31" s="51"/>
      <c r="I31" s="51"/>
      <c r="J31" s="51"/>
      <c r="K31" s="51"/>
      <c r="L31" s="51"/>
      <c r="M31" s="51"/>
      <c r="N31" s="51"/>
      <c r="O31" s="51"/>
      <c r="P31" s="51"/>
      <c r="Q31" s="51"/>
      <c r="R31" s="51"/>
      <c r="S31" s="51"/>
      <c r="T31" s="51"/>
      <c r="U31" s="51"/>
      <c r="V31" s="51"/>
      <c r="W31" s="51"/>
      <c r="X31" s="51"/>
      <c r="Y31" s="51">
        <f t="shared" si="0"/>
        <v>0</v>
      </c>
      <c r="Z31" s="51">
        <f t="shared" si="1"/>
        <v>0</v>
      </c>
      <c r="AA31" s="51">
        <f t="shared" si="2"/>
        <v>0</v>
      </c>
      <c r="AB31" s="51"/>
      <c r="AC31" s="51"/>
      <c r="AD31" s="51"/>
      <c r="AE31" s="51">
        <f t="shared" si="3"/>
        <v>0</v>
      </c>
      <c r="AF31" s="51">
        <f t="shared" si="4"/>
        <v>0</v>
      </c>
      <c r="AG31" s="51">
        <f t="shared" si="5"/>
        <v>0</v>
      </c>
      <c r="AH31" s="51">
        <f t="shared" si="6"/>
        <v>0</v>
      </c>
      <c r="AI31" s="51">
        <f t="shared" si="7"/>
        <v>0</v>
      </c>
      <c r="AJ31" s="51">
        <f t="shared" si="8"/>
        <v>0</v>
      </c>
      <c r="AK31" s="51">
        <f t="shared" si="9"/>
        <v>0</v>
      </c>
      <c r="AL31" s="51">
        <f t="shared" si="10"/>
        <v>0</v>
      </c>
      <c r="AM31" s="51">
        <f t="shared" si="11"/>
        <v>0</v>
      </c>
      <c r="AN31" s="51">
        <f t="shared" si="12"/>
        <v>0</v>
      </c>
      <c r="AO31" s="51">
        <f t="shared" si="13"/>
        <v>0</v>
      </c>
      <c r="AP31" s="51">
        <f t="shared" si="14"/>
        <v>0</v>
      </c>
      <c r="AQ31" s="51">
        <f t="shared" si="15"/>
        <v>0</v>
      </c>
      <c r="AR31" s="51">
        <f t="shared" si="16"/>
        <v>0</v>
      </c>
      <c r="AS31" s="51">
        <f t="shared" si="17"/>
        <v>0</v>
      </c>
    </row>
    <row r="32" spans="1:45">
      <c r="A32" s="51"/>
      <c r="B32" s="51"/>
      <c r="C32" s="51"/>
      <c r="D32" s="51"/>
      <c r="E32" s="51"/>
      <c r="F32" s="51"/>
      <c r="G32" s="51"/>
      <c r="H32" s="51"/>
      <c r="I32" s="51"/>
      <c r="J32" s="51"/>
      <c r="K32" s="51"/>
      <c r="L32" s="51"/>
      <c r="M32" s="51"/>
      <c r="N32" s="51"/>
      <c r="O32" s="51"/>
      <c r="P32" s="51"/>
      <c r="Q32" s="51"/>
      <c r="R32" s="51"/>
      <c r="S32" s="51"/>
      <c r="T32" s="51"/>
      <c r="U32" s="51"/>
      <c r="V32" s="51"/>
      <c r="W32" s="51"/>
      <c r="X32" s="51"/>
      <c r="Y32" s="51">
        <f t="shared" si="0"/>
        <v>0</v>
      </c>
      <c r="Z32" s="51">
        <f t="shared" si="1"/>
        <v>0</v>
      </c>
      <c r="AA32" s="51">
        <f t="shared" si="2"/>
        <v>0</v>
      </c>
      <c r="AB32" s="51"/>
      <c r="AC32" s="51"/>
      <c r="AD32" s="51"/>
      <c r="AE32" s="51">
        <f t="shared" si="3"/>
        <v>0</v>
      </c>
      <c r="AF32" s="51">
        <f t="shared" si="4"/>
        <v>0</v>
      </c>
      <c r="AG32" s="51">
        <f t="shared" si="5"/>
        <v>0</v>
      </c>
      <c r="AH32" s="51">
        <f t="shared" si="6"/>
        <v>0</v>
      </c>
      <c r="AI32" s="51">
        <f t="shared" si="7"/>
        <v>0</v>
      </c>
      <c r="AJ32" s="51">
        <f t="shared" si="8"/>
        <v>0</v>
      </c>
      <c r="AK32" s="51">
        <f t="shared" si="9"/>
        <v>0</v>
      </c>
      <c r="AL32" s="51">
        <f t="shared" si="10"/>
        <v>0</v>
      </c>
      <c r="AM32" s="51">
        <f t="shared" si="11"/>
        <v>0</v>
      </c>
      <c r="AN32" s="51">
        <f t="shared" si="12"/>
        <v>0</v>
      </c>
      <c r="AO32" s="51">
        <f t="shared" si="13"/>
        <v>0</v>
      </c>
      <c r="AP32" s="51">
        <f t="shared" si="14"/>
        <v>0</v>
      </c>
      <c r="AQ32" s="51">
        <f t="shared" si="15"/>
        <v>0</v>
      </c>
      <c r="AR32" s="51">
        <f t="shared" si="16"/>
        <v>0</v>
      </c>
      <c r="AS32" s="51">
        <f t="shared" si="17"/>
        <v>0</v>
      </c>
    </row>
    <row r="33" spans="1:45">
      <c r="A33" s="51"/>
      <c r="B33" s="51"/>
      <c r="C33" s="51"/>
      <c r="D33" s="51"/>
      <c r="E33" s="51"/>
      <c r="F33" s="51"/>
      <c r="G33" s="51"/>
      <c r="H33" s="51"/>
      <c r="I33" s="51"/>
      <c r="J33" s="51"/>
      <c r="K33" s="51"/>
      <c r="L33" s="51"/>
      <c r="M33" s="51"/>
      <c r="N33" s="51"/>
      <c r="O33" s="51"/>
      <c r="P33" s="51"/>
      <c r="Q33" s="51"/>
      <c r="R33" s="51"/>
      <c r="S33" s="51"/>
      <c r="T33" s="51"/>
      <c r="U33" s="51"/>
      <c r="V33" s="51"/>
      <c r="W33" s="51"/>
      <c r="X33" s="51"/>
      <c r="Y33" s="51">
        <f t="shared" si="0"/>
        <v>0</v>
      </c>
      <c r="Z33" s="51">
        <f t="shared" si="1"/>
        <v>0</v>
      </c>
      <c r="AA33" s="51">
        <f t="shared" si="2"/>
        <v>0</v>
      </c>
      <c r="AB33" s="51"/>
      <c r="AC33" s="51"/>
      <c r="AD33" s="51"/>
      <c r="AE33" s="51">
        <f t="shared" si="3"/>
        <v>0</v>
      </c>
      <c r="AF33" s="51">
        <f t="shared" si="4"/>
        <v>0</v>
      </c>
      <c r="AG33" s="51">
        <f t="shared" si="5"/>
        <v>0</v>
      </c>
      <c r="AH33" s="51">
        <f t="shared" si="6"/>
        <v>0</v>
      </c>
      <c r="AI33" s="51">
        <f t="shared" si="7"/>
        <v>0</v>
      </c>
      <c r="AJ33" s="51">
        <f t="shared" si="8"/>
        <v>0</v>
      </c>
      <c r="AK33" s="51">
        <f t="shared" si="9"/>
        <v>0</v>
      </c>
      <c r="AL33" s="51">
        <f t="shared" si="10"/>
        <v>0</v>
      </c>
      <c r="AM33" s="51">
        <f t="shared" si="11"/>
        <v>0</v>
      </c>
      <c r="AN33" s="51">
        <f t="shared" si="12"/>
        <v>0</v>
      </c>
      <c r="AO33" s="51">
        <f t="shared" si="13"/>
        <v>0</v>
      </c>
      <c r="AP33" s="51">
        <f t="shared" si="14"/>
        <v>0</v>
      </c>
      <c r="AQ33" s="51">
        <f t="shared" si="15"/>
        <v>0</v>
      </c>
      <c r="AR33" s="51">
        <f t="shared" si="16"/>
        <v>0</v>
      </c>
      <c r="AS33" s="51">
        <f t="shared" si="17"/>
        <v>0</v>
      </c>
    </row>
    <row r="34" spans="1:45">
      <c r="A34" s="51"/>
      <c r="B34" s="51"/>
      <c r="C34" s="51"/>
      <c r="D34" s="51"/>
      <c r="E34" s="51"/>
      <c r="F34" s="51"/>
      <c r="G34" s="51"/>
      <c r="H34" s="51"/>
      <c r="I34" s="51"/>
      <c r="J34" s="51"/>
      <c r="K34" s="51"/>
      <c r="L34" s="51"/>
      <c r="M34" s="51"/>
      <c r="N34" s="51"/>
      <c r="O34" s="51"/>
      <c r="P34" s="51"/>
      <c r="Q34" s="51"/>
      <c r="R34" s="51"/>
      <c r="S34" s="51"/>
      <c r="T34" s="51"/>
      <c r="U34" s="51"/>
      <c r="V34" s="51"/>
      <c r="W34" s="51"/>
      <c r="X34" s="51"/>
      <c r="Y34" s="51">
        <f t="shared" ref="Y34:Y51" si="18">IF(UPPER(TRIM($W34&amp;""))="CANCELLED",0,IFERROR(0+$M34,0))</f>
        <v>0</v>
      </c>
      <c r="Z34" s="51">
        <f t="shared" ref="Z34:Z51" si="19">IF(UPPER(TRIM($W34&amp;""))="CANCELLED",0,IFERROR((IFERROR(0+$M34,0))*IF(IFERROR(0+TRIM($N34&amp;""),0)=4,2,IF(IFERROR(0+TRIM($N34&amp;""),0)=2,1,0)),0))</f>
        <v>0</v>
      </c>
      <c r="AA34" s="51">
        <f t="shared" ref="AA34:AA51" si="20">IF(UPPER(TRIM($W34&amp;""))="CANCELLED",0,IFERROR(0+$P34,0))</f>
        <v>0</v>
      </c>
      <c r="AB34" s="51"/>
      <c r="AC34" s="51"/>
      <c r="AD34" s="51"/>
      <c r="AE34" s="51">
        <f t="shared" ref="AE34:AE51" si="21">IF(UPPER(TRIM($W34&amp;""))="CANCELLED",0,IF(UPPER(TRIM($AD34&amp;""))="EMPTY",0,IFERROR(0+$M34,0)))</f>
        <v>0</v>
      </c>
      <c r="AF34" s="51">
        <f t="shared" ref="AF34:AF51" si="22">IF(UPPER(TRIM($W34&amp;""))="CANCELLED",0,IF(UPPER(TRIM($AD34&amp;""))="EMPTY",IFERROR(0+$M34,0),0))</f>
        <v>0</v>
      </c>
      <c r="AG34" s="51">
        <f t="shared" ref="AG34:AG51" si="23">AE34+AF34</f>
        <v>0</v>
      </c>
      <c r="AH34" s="51">
        <f t="shared" ref="AH34:AH51" si="24">IF(UPPER(TRIM($W34&amp;""))="CANCELLED",0,IF(AND(NOT(UPPER(TRIM($AD34&amp;""))="EMPTY"),IFERROR(0+TRIM($N34&amp;""),0)=2),IFERROR(0+$M34,0),0))</f>
        <v>0</v>
      </c>
      <c r="AI34" s="51">
        <f t="shared" ref="AI34:AI51" si="25">IF(UPPER(TRIM($W34&amp;""))="CANCELLED",0,IF(AND(UPPER(TRIM($AD34&amp;""))="EMPTY",IFERROR(0+TRIM($N34&amp;""),0)=2),IFERROR(0+$M34,0),0))</f>
        <v>0</v>
      </c>
      <c r="AJ34" s="51">
        <f t="shared" ref="AJ34:AJ51" si="26">AH34+AI34</f>
        <v>0</v>
      </c>
      <c r="AK34" s="51">
        <f t="shared" ref="AK34:AK51" si="27">IF(UPPER(TRIM($W34&amp;""))="CANCELLED",0,IF(AND(NOT(UPPER(TRIM($AD34&amp;""))="EMPTY"),IFERROR(0+TRIM($N34&amp;""),0)=4),IFERROR(0+$M34,0),0))</f>
        <v>0</v>
      </c>
      <c r="AL34" s="51">
        <f t="shared" ref="AL34:AL51" si="28">IF(UPPER(TRIM($W34&amp;""))="CANCELLED",0,IF(AND(UPPER(TRIM($AD34&amp;""))="EMPTY",IFERROR(0+TRIM($N34&amp;""),0)=4),IFERROR(0+$M34,0),0))</f>
        <v>0</v>
      </c>
      <c r="AM34" s="51">
        <f t="shared" ref="AM34:AM51" si="29">AK34+AL34</f>
        <v>0</v>
      </c>
      <c r="AN34" s="51">
        <f t="shared" ref="AN34:AN51" si="30">IF(UPPER(TRIM($W34&amp;""))="CANCELLED",0,IF(UPPER(TRIM($AD34&amp;""))="EMPTY",0,IFERROR((IFERROR(0+$M34,0))*IF(IFERROR(0+TRIM($N34&amp;""),0)=4,2,IF(IFERROR(0+TRIM($N34&amp;""),0)=2,1,0)),0)))</f>
        <v>0</v>
      </c>
      <c r="AO34" s="51">
        <f t="shared" ref="AO34:AO51" si="31">IF(UPPER(TRIM($W34&amp;""))="CANCELLED",0,IF(UPPER(TRIM($AD34&amp;""))="EMPTY",IFERROR((IFERROR(0+$M34,0))*IF(IFERROR(0+TRIM($N34&amp;""),0)=4,2,IF(IFERROR(0+TRIM($N34&amp;""),0)=2,1,0)),0),0))</f>
        <v>0</v>
      </c>
      <c r="AP34" s="51">
        <f t="shared" ref="AP34:AP51" si="32">AN34+AO34</f>
        <v>0</v>
      </c>
      <c r="AQ34" s="51">
        <f t="shared" ref="AQ34:AQ51" si="33">IF(UPPER(TRIM($W34&amp;""))="CANCELLED",0,IF(UPPER(TRIM($AD34&amp;""))="EMPTY",0,IFERROR(0+$P34,0)))</f>
        <v>0</v>
      </c>
      <c r="AR34" s="51">
        <f t="shared" ref="AR34:AR51" si="34">IF(UPPER(TRIM($W34&amp;""))="CANCELLED",0,IF(UPPER(TRIM($AD34&amp;""))="EMPTY",IFERROR(0+$P34,0),0))</f>
        <v>0</v>
      </c>
      <c r="AS34" s="51">
        <f t="shared" ref="AS34:AS51" si="35">AQ34+AR34</f>
        <v>0</v>
      </c>
    </row>
    <row r="35" spans="1:45">
      <c r="A35" s="51"/>
      <c r="B35" s="51"/>
      <c r="C35" s="51"/>
      <c r="D35" s="51"/>
      <c r="E35" s="51"/>
      <c r="F35" s="51"/>
      <c r="G35" s="51"/>
      <c r="H35" s="51"/>
      <c r="I35" s="51"/>
      <c r="J35" s="51"/>
      <c r="K35" s="51"/>
      <c r="L35" s="51"/>
      <c r="M35" s="51"/>
      <c r="N35" s="51"/>
      <c r="O35" s="51"/>
      <c r="P35" s="51"/>
      <c r="Q35" s="51"/>
      <c r="R35" s="51"/>
      <c r="S35" s="51"/>
      <c r="T35" s="51"/>
      <c r="U35" s="51"/>
      <c r="V35" s="51"/>
      <c r="W35" s="51"/>
      <c r="X35" s="51"/>
      <c r="Y35" s="51">
        <f t="shared" si="18"/>
        <v>0</v>
      </c>
      <c r="Z35" s="51">
        <f t="shared" si="19"/>
        <v>0</v>
      </c>
      <c r="AA35" s="51">
        <f t="shared" si="20"/>
        <v>0</v>
      </c>
      <c r="AB35" s="51"/>
      <c r="AC35" s="51"/>
      <c r="AD35" s="51"/>
      <c r="AE35" s="51">
        <f t="shared" si="21"/>
        <v>0</v>
      </c>
      <c r="AF35" s="51">
        <f t="shared" si="22"/>
        <v>0</v>
      </c>
      <c r="AG35" s="51">
        <f t="shared" si="23"/>
        <v>0</v>
      </c>
      <c r="AH35" s="51">
        <f t="shared" si="24"/>
        <v>0</v>
      </c>
      <c r="AI35" s="51">
        <f t="shared" si="25"/>
        <v>0</v>
      </c>
      <c r="AJ35" s="51">
        <f t="shared" si="26"/>
        <v>0</v>
      </c>
      <c r="AK35" s="51">
        <f t="shared" si="27"/>
        <v>0</v>
      </c>
      <c r="AL35" s="51">
        <f t="shared" si="28"/>
        <v>0</v>
      </c>
      <c r="AM35" s="51">
        <f t="shared" si="29"/>
        <v>0</v>
      </c>
      <c r="AN35" s="51">
        <f t="shared" si="30"/>
        <v>0</v>
      </c>
      <c r="AO35" s="51">
        <f t="shared" si="31"/>
        <v>0</v>
      </c>
      <c r="AP35" s="51">
        <f t="shared" si="32"/>
        <v>0</v>
      </c>
      <c r="AQ35" s="51">
        <f t="shared" si="33"/>
        <v>0</v>
      </c>
      <c r="AR35" s="51">
        <f t="shared" si="34"/>
        <v>0</v>
      </c>
      <c r="AS35" s="51">
        <f t="shared" si="35"/>
        <v>0</v>
      </c>
    </row>
    <row r="36" spans="1:45">
      <c r="A36" s="51"/>
      <c r="B36" s="51"/>
      <c r="C36" s="51"/>
      <c r="D36" s="51"/>
      <c r="E36" s="51"/>
      <c r="F36" s="51"/>
      <c r="G36" s="51"/>
      <c r="H36" s="51"/>
      <c r="I36" s="51"/>
      <c r="J36" s="51"/>
      <c r="K36" s="51"/>
      <c r="L36" s="51"/>
      <c r="M36" s="51"/>
      <c r="N36" s="51"/>
      <c r="O36" s="51"/>
      <c r="P36" s="51"/>
      <c r="Q36" s="51"/>
      <c r="R36" s="51"/>
      <c r="S36" s="51"/>
      <c r="T36" s="51"/>
      <c r="U36" s="51"/>
      <c r="V36" s="51"/>
      <c r="W36" s="51"/>
      <c r="X36" s="51"/>
      <c r="Y36" s="51">
        <f t="shared" si="18"/>
        <v>0</v>
      </c>
      <c r="Z36" s="51">
        <f t="shared" si="19"/>
        <v>0</v>
      </c>
      <c r="AA36" s="51">
        <f t="shared" si="20"/>
        <v>0</v>
      </c>
      <c r="AB36" s="51"/>
      <c r="AC36" s="51"/>
      <c r="AD36" s="51"/>
      <c r="AE36" s="51">
        <f t="shared" si="21"/>
        <v>0</v>
      </c>
      <c r="AF36" s="51">
        <f t="shared" si="22"/>
        <v>0</v>
      </c>
      <c r="AG36" s="51">
        <f t="shared" si="23"/>
        <v>0</v>
      </c>
      <c r="AH36" s="51">
        <f t="shared" si="24"/>
        <v>0</v>
      </c>
      <c r="AI36" s="51">
        <f t="shared" si="25"/>
        <v>0</v>
      </c>
      <c r="AJ36" s="51">
        <f t="shared" si="26"/>
        <v>0</v>
      </c>
      <c r="AK36" s="51">
        <f t="shared" si="27"/>
        <v>0</v>
      </c>
      <c r="AL36" s="51">
        <f t="shared" si="28"/>
        <v>0</v>
      </c>
      <c r="AM36" s="51">
        <f t="shared" si="29"/>
        <v>0</v>
      </c>
      <c r="AN36" s="51">
        <f t="shared" si="30"/>
        <v>0</v>
      </c>
      <c r="AO36" s="51">
        <f t="shared" si="31"/>
        <v>0</v>
      </c>
      <c r="AP36" s="51">
        <f t="shared" si="32"/>
        <v>0</v>
      </c>
      <c r="AQ36" s="51">
        <f t="shared" si="33"/>
        <v>0</v>
      </c>
      <c r="AR36" s="51">
        <f t="shared" si="34"/>
        <v>0</v>
      </c>
      <c r="AS36" s="51">
        <f t="shared" si="35"/>
        <v>0</v>
      </c>
    </row>
    <row r="37" spans="1:45">
      <c r="A37" s="51"/>
      <c r="B37" s="51"/>
      <c r="C37" s="51"/>
      <c r="D37" s="51"/>
      <c r="E37" s="51"/>
      <c r="F37" s="51"/>
      <c r="G37" s="51"/>
      <c r="H37" s="51"/>
      <c r="I37" s="51"/>
      <c r="J37" s="51"/>
      <c r="K37" s="51"/>
      <c r="L37" s="51"/>
      <c r="M37" s="51"/>
      <c r="N37" s="51"/>
      <c r="O37" s="51"/>
      <c r="P37" s="51"/>
      <c r="Q37" s="51"/>
      <c r="R37" s="51"/>
      <c r="S37" s="51"/>
      <c r="T37" s="51"/>
      <c r="U37" s="51"/>
      <c r="V37" s="51"/>
      <c r="W37" s="51"/>
      <c r="X37" s="51"/>
      <c r="Y37" s="51">
        <f t="shared" si="18"/>
        <v>0</v>
      </c>
      <c r="Z37" s="51">
        <f t="shared" si="19"/>
        <v>0</v>
      </c>
      <c r="AA37" s="51">
        <f t="shared" si="20"/>
        <v>0</v>
      </c>
      <c r="AB37" s="51"/>
      <c r="AC37" s="51"/>
      <c r="AD37" s="51"/>
      <c r="AE37" s="51">
        <f t="shared" si="21"/>
        <v>0</v>
      </c>
      <c r="AF37" s="51">
        <f t="shared" si="22"/>
        <v>0</v>
      </c>
      <c r="AG37" s="51">
        <f t="shared" si="23"/>
        <v>0</v>
      </c>
      <c r="AH37" s="51">
        <f t="shared" si="24"/>
        <v>0</v>
      </c>
      <c r="AI37" s="51">
        <f t="shared" si="25"/>
        <v>0</v>
      </c>
      <c r="AJ37" s="51">
        <f t="shared" si="26"/>
        <v>0</v>
      </c>
      <c r="AK37" s="51">
        <f t="shared" si="27"/>
        <v>0</v>
      </c>
      <c r="AL37" s="51">
        <f t="shared" si="28"/>
        <v>0</v>
      </c>
      <c r="AM37" s="51">
        <f t="shared" si="29"/>
        <v>0</v>
      </c>
      <c r="AN37" s="51">
        <f t="shared" si="30"/>
        <v>0</v>
      </c>
      <c r="AO37" s="51">
        <f t="shared" si="31"/>
        <v>0</v>
      </c>
      <c r="AP37" s="51">
        <f t="shared" si="32"/>
        <v>0</v>
      </c>
      <c r="AQ37" s="51">
        <f t="shared" si="33"/>
        <v>0</v>
      </c>
      <c r="AR37" s="51">
        <f t="shared" si="34"/>
        <v>0</v>
      </c>
      <c r="AS37" s="51">
        <f t="shared" si="35"/>
        <v>0</v>
      </c>
    </row>
    <row r="38" spans="1:45">
      <c r="A38" s="51"/>
      <c r="B38" s="51"/>
      <c r="C38" s="51"/>
      <c r="D38" s="51"/>
      <c r="E38" s="51"/>
      <c r="F38" s="51"/>
      <c r="G38" s="51"/>
      <c r="H38" s="51"/>
      <c r="I38" s="51"/>
      <c r="J38" s="51"/>
      <c r="K38" s="51"/>
      <c r="L38" s="51"/>
      <c r="M38" s="51"/>
      <c r="N38" s="51"/>
      <c r="O38" s="51"/>
      <c r="P38" s="51"/>
      <c r="Q38" s="51"/>
      <c r="R38" s="51"/>
      <c r="S38" s="51"/>
      <c r="T38" s="51"/>
      <c r="U38" s="51"/>
      <c r="V38" s="51"/>
      <c r="W38" s="51"/>
      <c r="X38" s="51"/>
      <c r="Y38" s="51">
        <f t="shared" si="18"/>
        <v>0</v>
      </c>
      <c r="Z38" s="51">
        <f t="shared" si="19"/>
        <v>0</v>
      </c>
      <c r="AA38" s="51">
        <f t="shared" si="20"/>
        <v>0</v>
      </c>
      <c r="AB38" s="51"/>
      <c r="AC38" s="51"/>
      <c r="AD38" s="51"/>
      <c r="AE38" s="51">
        <f t="shared" si="21"/>
        <v>0</v>
      </c>
      <c r="AF38" s="51">
        <f t="shared" si="22"/>
        <v>0</v>
      </c>
      <c r="AG38" s="51">
        <f t="shared" si="23"/>
        <v>0</v>
      </c>
      <c r="AH38" s="51">
        <f t="shared" si="24"/>
        <v>0</v>
      </c>
      <c r="AI38" s="51">
        <f t="shared" si="25"/>
        <v>0</v>
      </c>
      <c r="AJ38" s="51">
        <f t="shared" si="26"/>
        <v>0</v>
      </c>
      <c r="AK38" s="51">
        <f t="shared" si="27"/>
        <v>0</v>
      </c>
      <c r="AL38" s="51">
        <f t="shared" si="28"/>
        <v>0</v>
      </c>
      <c r="AM38" s="51">
        <f t="shared" si="29"/>
        <v>0</v>
      </c>
      <c r="AN38" s="51">
        <f t="shared" si="30"/>
        <v>0</v>
      </c>
      <c r="AO38" s="51">
        <f t="shared" si="31"/>
        <v>0</v>
      </c>
      <c r="AP38" s="51">
        <f t="shared" si="32"/>
        <v>0</v>
      </c>
      <c r="AQ38" s="51">
        <f t="shared" si="33"/>
        <v>0</v>
      </c>
      <c r="AR38" s="51">
        <f t="shared" si="34"/>
        <v>0</v>
      </c>
      <c r="AS38" s="51">
        <f t="shared" si="35"/>
        <v>0</v>
      </c>
    </row>
    <row r="39" spans="1:45">
      <c r="A39" s="51"/>
      <c r="B39" s="51"/>
      <c r="C39" s="51"/>
      <c r="D39" s="51"/>
      <c r="E39" s="51"/>
      <c r="F39" s="51"/>
      <c r="G39" s="51"/>
      <c r="H39" s="51"/>
      <c r="I39" s="51"/>
      <c r="J39" s="51"/>
      <c r="K39" s="51"/>
      <c r="L39" s="51"/>
      <c r="M39" s="51"/>
      <c r="N39" s="51"/>
      <c r="O39" s="51"/>
      <c r="P39" s="51"/>
      <c r="Q39" s="51"/>
      <c r="R39" s="51"/>
      <c r="S39" s="51"/>
      <c r="T39" s="51"/>
      <c r="U39" s="51"/>
      <c r="V39" s="51"/>
      <c r="W39" s="51"/>
      <c r="X39" s="51"/>
      <c r="Y39" s="51">
        <f t="shared" si="18"/>
        <v>0</v>
      </c>
      <c r="Z39" s="51">
        <f t="shared" si="19"/>
        <v>0</v>
      </c>
      <c r="AA39" s="51">
        <f t="shared" si="20"/>
        <v>0</v>
      </c>
      <c r="AB39" s="51"/>
      <c r="AC39" s="51"/>
      <c r="AD39" s="51"/>
      <c r="AE39" s="51">
        <f t="shared" si="21"/>
        <v>0</v>
      </c>
      <c r="AF39" s="51">
        <f t="shared" si="22"/>
        <v>0</v>
      </c>
      <c r="AG39" s="51">
        <f t="shared" si="23"/>
        <v>0</v>
      </c>
      <c r="AH39" s="51">
        <f t="shared" si="24"/>
        <v>0</v>
      </c>
      <c r="AI39" s="51">
        <f t="shared" si="25"/>
        <v>0</v>
      </c>
      <c r="AJ39" s="51">
        <f t="shared" si="26"/>
        <v>0</v>
      </c>
      <c r="AK39" s="51">
        <f t="shared" si="27"/>
        <v>0</v>
      </c>
      <c r="AL39" s="51">
        <f t="shared" si="28"/>
        <v>0</v>
      </c>
      <c r="AM39" s="51">
        <f t="shared" si="29"/>
        <v>0</v>
      </c>
      <c r="AN39" s="51">
        <f t="shared" si="30"/>
        <v>0</v>
      </c>
      <c r="AO39" s="51">
        <f t="shared" si="31"/>
        <v>0</v>
      </c>
      <c r="AP39" s="51">
        <f t="shared" si="32"/>
        <v>0</v>
      </c>
      <c r="AQ39" s="51">
        <f t="shared" si="33"/>
        <v>0</v>
      </c>
      <c r="AR39" s="51">
        <f t="shared" si="34"/>
        <v>0</v>
      </c>
      <c r="AS39" s="51">
        <f t="shared" si="35"/>
        <v>0</v>
      </c>
    </row>
    <row r="40" spans="1:45">
      <c r="A40" s="51"/>
      <c r="B40" s="51"/>
      <c r="C40" s="51"/>
      <c r="D40" s="51"/>
      <c r="E40" s="51"/>
      <c r="F40" s="51"/>
      <c r="G40" s="51"/>
      <c r="H40" s="51"/>
      <c r="I40" s="51"/>
      <c r="J40" s="51"/>
      <c r="K40" s="51"/>
      <c r="L40" s="51"/>
      <c r="M40" s="51"/>
      <c r="N40" s="51"/>
      <c r="O40" s="51"/>
      <c r="P40" s="51"/>
      <c r="Q40" s="51"/>
      <c r="R40" s="51"/>
      <c r="S40" s="51"/>
      <c r="T40" s="51"/>
      <c r="U40" s="51"/>
      <c r="V40" s="51"/>
      <c r="W40" s="51"/>
      <c r="X40" s="51"/>
      <c r="Y40" s="51">
        <f t="shared" si="18"/>
        <v>0</v>
      </c>
      <c r="Z40" s="51">
        <f t="shared" si="19"/>
        <v>0</v>
      </c>
      <c r="AA40" s="51">
        <f t="shared" si="20"/>
        <v>0</v>
      </c>
      <c r="AB40" s="51"/>
      <c r="AC40" s="51"/>
      <c r="AD40" s="51"/>
      <c r="AE40" s="51">
        <f t="shared" si="21"/>
        <v>0</v>
      </c>
      <c r="AF40" s="51">
        <f t="shared" si="22"/>
        <v>0</v>
      </c>
      <c r="AG40" s="51">
        <f t="shared" si="23"/>
        <v>0</v>
      </c>
      <c r="AH40" s="51">
        <f t="shared" si="24"/>
        <v>0</v>
      </c>
      <c r="AI40" s="51">
        <f t="shared" si="25"/>
        <v>0</v>
      </c>
      <c r="AJ40" s="51">
        <f t="shared" si="26"/>
        <v>0</v>
      </c>
      <c r="AK40" s="51">
        <f t="shared" si="27"/>
        <v>0</v>
      </c>
      <c r="AL40" s="51">
        <f t="shared" si="28"/>
        <v>0</v>
      </c>
      <c r="AM40" s="51">
        <f t="shared" si="29"/>
        <v>0</v>
      </c>
      <c r="AN40" s="51">
        <f t="shared" si="30"/>
        <v>0</v>
      </c>
      <c r="AO40" s="51">
        <f t="shared" si="31"/>
        <v>0</v>
      </c>
      <c r="AP40" s="51">
        <f t="shared" si="32"/>
        <v>0</v>
      </c>
      <c r="AQ40" s="51">
        <f t="shared" si="33"/>
        <v>0</v>
      </c>
      <c r="AR40" s="51">
        <f t="shared" si="34"/>
        <v>0</v>
      </c>
      <c r="AS40" s="51">
        <f t="shared" si="35"/>
        <v>0</v>
      </c>
    </row>
    <row r="41" spans="1:45">
      <c r="A41" s="51"/>
      <c r="B41" s="51"/>
      <c r="C41" s="51"/>
      <c r="D41" s="51"/>
      <c r="E41" s="51"/>
      <c r="F41" s="51"/>
      <c r="G41" s="51"/>
      <c r="H41" s="51"/>
      <c r="I41" s="51"/>
      <c r="J41" s="51"/>
      <c r="K41" s="51"/>
      <c r="L41" s="51"/>
      <c r="M41" s="51"/>
      <c r="N41" s="51"/>
      <c r="O41" s="51"/>
      <c r="P41" s="51"/>
      <c r="Q41" s="51"/>
      <c r="R41" s="51"/>
      <c r="S41" s="51"/>
      <c r="T41" s="51"/>
      <c r="U41" s="51"/>
      <c r="V41" s="51"/>
      <c r="W41" s="51"/>
      <c r="X41" s="51"/>
      <c r="Y41" s="51">
        <f t="shared" si="18"/>
        <v>0</v>
      </c>
      <c r="Z41" s="51">
        <f t="shared" si="19"/>
        <v>0</v>
      </c>
      <c r="AA41" s="51">
        <f t="shared" si="20"/>
        <v>0</v>
      </c>
      <c r="AB41" s="51"/>
      <c r="AC41" s="51"/>
      <c r="AD41" s="51"/>
      <c r="AE41" s="51">
        <f t="shared" si="21"/>
        <v>0</v>
      </c>
      <c r="AF41" s="51">
        <f t="shared" si="22"/>
        <v>0</v>
      </c>
      <c r="AG41" s="51">
        <f t="shared" si="23"/>
        <v>0</v>
      </c>
      <c r="AH41" s="51">
        <f t="shared" si="24"/>
        <v>0</v>
      </c>
      <c r="AI41" s="51">
        <f t="shared" si="25"/>
        <v>0</v>
      </c>
      <c r="AJ41" s="51">
        <f t="shared" si="26"/>
        <v>0</v>
      </c>
      <c r="AK41" s="51">
        <f t="shared" si="27"/>
        <v>0</v>
      </c>
      <c r="AL41" s="51">
        <f t="shared" si="28"/>
        <v>0</v>
      </c>
      <c r="AM41" s="51">
        <f t="shared" si="29"/>
        <v>0</v>
      </c>
      <c r="AN41" s="51">
        <f t="shared" si="30"/>
        <v>0</v>
      </c>
      <c r="AO41" s="51">
        <f t="shared" si="31"/>
        <v>0</v>
      </c>
      <c r="AP41" s="51">
        <f t="shared" si="32"/>
        <v>0</v>
      </c>
      <c r="AQ41" s="51">
        <f t="shared" si="33"/>
        <v>0</v>
      </c>
      <c r="AR41" s="51">
        <f t="shared" si="34"/>
        <v>0</v>
      </c>
      <c r="AS41" s="51">
        <f t="shared" si="35"/>
        <v>0</v>
      </c>
    </row>
    <row r="42" spans="1:45">
      <c r="A42" s="51"/>
      <c r="B42" s="51"/>
      <c r="C42" s="51"/>
      <c r="D42" s="51"/>
      <c r="E42" s="51"/>
      <c r="F42" s="51"/>
      <c r="G42" s="51"/>
      <c r="H42" s="51"/>
      <c r="I42" s="51"/>
      <c r="J42" s="51"/>
      <c r="K42" s="51"/>
      <c r="L42" s="51"/>
      <c r="M42" s="51"/>
      <c r="N42" s="51"/>
      <c r="O42" s="51"/>
      <c r="P42" s="51"/>
      <c r="Q42" s="51"/>
      <c r="R42" s="51"/>
      <c r="S42" s="51"/>
      <c r="T42" s="51"/>
      <c r="U42" s="51"/>
      <c r="V42" s="51"/>
      <c r="W42" s="51"/>
      <c r="X42" s="51"/>
      <c r="Y42" s="51">
        <f t="shared" si="18"/>
        <v>0</v>
      </c>
      <c r="Z42" s="51">
        <f t="shared" si="19"/>
        <v>0</v>
      </c>
      <c r="AA42" s="51">
        <f t="shared" si="20"/>
        <v>0</v>
      </c>
      <c r="AB42" s="51"/>
      <c r="AC42" s="51"/>
      <c r="AD42" s="51"/>
      <c r="AE42" s="51">
        <f t="shared" si="21"/>
        <v>0</v>
      </c>
      <c r="AF42" s="51">
        <f t="shared" si="22"/>
        <v>0</v>
      </c>
      <c r="AG42" s="51">
        <f t="shared" si="23"/>
        <v>0</v>
      </c>
      <c r="AH42" s="51">
        <f t="shared" si="24"/>
        <v>0</v>
      </c>
      <c r="AI42" s="51">
        <f t="shared" si="25"/>
        <v>0</v>
      </c>
      <c r="AJ42" s="51">
        <f t="shared" si="26"/>
        <v>0</v>
      </c>
      <c r="AK42" s="51">
        <f t="shared" si="27"/>
        <v>0</v>
      </c>
      <c r="AL42" s="51">
        <f t="shared" si="28"/>
        <v>0</v>
      </c>
      <c r="AM42" s="51">
        <f t="shared" si="29"/>
        <v>0</v>
      </c>
      <c r="AN42" s="51">
        <f t="shared" si="30"/>
        <v>0</v>
      </c>
      <c r="AO42" s="51">
        <f t="shared" si="31"/>
        <v>0</v>
      </c>
      <c r="AP42" s="51">
        <f t="shared" si="32"/>
        <v>0</v>
      </c>
      <c r="AQ42" s="51">
        <f t="shared" si="33"/>
        <v>0</v>
      </c>
      <c r="AR42" s="51">
        <f t="shared" si="34"/>
        <v>0</v>
      </c>
      <c r="AS42" s="51">
        <f t="shared" si="35"/>
        <v>0</v>
      </c>
    </row>
    <row r="43" spans="1:45">
      <c r="A43" s="51"/>
      <c r="B43" s="51"/>
      <c r="C43" s="51"/>
      <c r="D43" s="51"/>
      <c r="E43" s="51"/>
      <c r="F43" s="51"/>
      <c r="G43" s="51"/>
      <c r="H43" s="51"/>
      <c r="I43" s="51"/>
      <c r="J43" s="51"/>
      <c r="K43" s="51"/>
      <c r="L43" s="51"/>
      <c r="M43" s="51"/>
      <c r="N43" s="51"/>
      <c r="O43" s="51"/>
      <c r="P43" s="51"/>
      <c r="Q43" s="51"/>
      <c r="R43" s="51"/>
      <c r="S43" s="51"/>
      <c r="T43" s="51"/>
      <c r="U43" s="51"/>
      <c r="V43" s="51"/>
      <c r="W43" s="51"/>
      <c r="X43" s="51"/>
      <c r="Y43" s="51">
        <f t="shared" si="18"/>
        <v>0</v>
      </c>
      <c r="Z43" s="51">
        <f t="shared" si="19"/>
        <v>0</v>
      </c>
      <c r="AA43" s="51">
        <f t="shared" si="20"/>
        <v>0</v>
      </c>
      <c r="AB43" s="51"/>
      <c r="AC43" s="51"/>
      <c r="AD43" s="51"/>
      <c r="AE43" s="51">
        <f t="shared" si="21"/>
        <v>0</v>
      </c>
      <c r="AF43" s="51">
        <f t="shared" si="22"/>
        <v>0</v>
      </c>
      <c r="AG43" s="51">
        <f t="shared" si="23"/>
        <v>0</v>
      </c>
      <c r="AH43" s="51">
        <f t="shared" si="24"/>
        <v>0</v>
      </c>
      <c r="AI43" s="51">
        <f t="shared" si="25"/>
        <v>0</v>
      </c>
      <c r="AJ43" s="51">
        <f t="shared" si="26"/>
        <v>0</v>
      </c>
      <c r="AK43" s="51">
        <f t="shared" si="27"/>
        <v>0</v>
      </c>
      <c r="AL43" s="51">
        <f t="shared" si="28"/>
        <v>0</v>
      </c>
      <c r="AM43" s="51">
        <f t="shared" si="29"/>
        <v>0</v>
      </c>
      <c r="AN43" s="51">
        <f t="shared" si="30"/>
        <v>0</v>
      </c>
      <c r="AO43" s="51">
        <f t="shared" si="31"/>
        <v>0</v>
      </c>
      <c r="AP43" s="51">
        <f t="shared" si="32"/>
        <v>0</v>
      </c>
      <c r="AQ43" s="51">
        <f t="shared" si="33"/>
        <v>0</v>
      </c>
      <c r="AR43" s="51">
        <f t="shared" si="34"/>
        <v>0</v>
      </c>
      <c r="AS43" s="51">
        <f t="shared" si="35"/>
        <v>0</v>
      </c>
    </row>
    <row r="44" spans="1:45">
      <c r="A44" s="51"/>
      <c r="B44" s="51"/>
      <c r="C44" s="51"/>
      <c r="D44" s="51"/>
      <c r="E44" s="51"/>
      <c r="F44" s="51"/>
      <c r="G44" s="51"/>
      <c r="H44" s="51"/>
      <c r="I44" s="51"/>
      <c r="J44" s="51"/>
      <c r="K44" s="51"/>
      <c r="L44" s="51"/>
      <c r="M44" s="51"/>
      <c r="N44" s="51"/>
      <c r="O44" s="51"/>
      <c r="P44" s="51"/>
      <c r="Q44" s="51"/>
      <c r="R44" s="51"/>
      <c r="S44" s="51"/>
      <c r="T44" s="51"/>
      <c r="U44" s="51"/>
      <c r="V44" s="51"/>
      <c r="W44" s="51"/>
      <c r="X44" s="51"/>
      <c r="Y44" s="51">
        <f t="shared" si="18"/>
        <v>0</v>
      </c>
      <c r="Z44" s="51">
        <f t="shared" si="19"/>
        <v>0</v>
      </c>
      <c r="AA44" s="51">
        <f t="shared" si="20"/>
        <v>0</v>
      </c>
      <c r="AB44" s="51"/>
      <c r="AC44" s="51"/>
      <c r="AD44" s="51"/>
      <c r="AE44" s="51">
        <f t="shared" si="21"/>
        <v>0</v>
      </c>
      <c r="AF44" s="51">
        <f t="shared" si="22"/>
        <v>0</v>
      </c>
      <c r="AG44" s="51">
        <f t="shared" si="23"/>
        <v>0</v>
      </c>
      <c r="AH44" s="51">
        <f t="shared" si="24"/>
        <v>0</v>
      </c>
      <c r="AI44" s="51">
        <f t="shared" si="25"/>
        <v>0</v>
      </c>
      <c r="AJ44" s="51">
        <f t="shared" si="26"/>
        <v>0</v>
      </c>
      <c r="AK44" s="51">
        <f t="shared" si="27"/>
        <v>0</v>
      </c>
      <c r="AL44" s="51">
        <f t="shared" si="28"/>
        <v>0</v>
      </c>
      <c r="AM44" s="51">
        <f t="shared" si="29"/>
        <v>0</v>
      </c>
      <c r="AN44" s="51">
        <f t="shared" si="30"/>
        <v>0</v>
      </c>
      <c r="AO44" s="51">
        <f t="shared" si="31"/>
        <v>0</v>
      </c>
      <c r="AP44" s="51">
        <f t="shared" si="32"/>
        <v>0</v>
      </c>
      <c r="AQ44" s="51">
        <f t="shared" si="33"/>
        <v>0</v>
      </c>
      <c r="AR44" s="51">
        <f t="shared" si="34"/>
        <v>0</v>
      </c>
      <c r="AS44" s="51">
        <f t="shared" si="35"/>
        <v>0</v>
      </c>
    </row>
    <row r="45" spans="1:45">
      <c r="A45" s="51"/>
      <c r="B45" s="51"/>
      <c r="C45" s="51"/>
      <c r="D45" s="51"/>
      <c r="E45" s="51"/>
      <c r="F45" s="51"/>
      <c r="G45" s="51"/>
      <c r="H45" s="51"/>
      <c r="I45" s="51"/>
      <c r="J45" s="51"/>
      <c r="K45" s="51"/>
      <c r="L45" s="51"/>
      <c r="M45" s="51"/>
      <c r="N45" s="51"/>
      <c r="O45" s="51"/>
      <c r="P45" s="51"/>
      <c r="Q45" s="51"/>
      <c r="R45" s="51"/>
      <c r="S45" s="51"/>
      <c r="T45" s="51"/>
      <c r="U45" s="51"/>
      <c r="V45" s="51"/>
      <c r="W45" s="51"/>
      <c r="X45" s="51"/>
      <c r="Y45" s="51">
        <f t="shared" si="18"/>
        <v>0</v>
      </c>
      <c r="Z45" s="51">
        <f t="shared" si="19"/>
        <v>0</v>
      </c>
      <c r="AA45" s="51">
        <f t="shared" si="20"/>
        <v>0</v>
      </c>
      <c r="AB45" s="51"/>
      <c r="AC45" s="51"/>
      <c r="AD45" s="51"/>
      <c r="AE45" s="51">
        <f t="shared" si="21"/>
        <v>0</v>
      </c>
      <c r="AF45" s="51">
        <f t="shared" si="22"/>
        <v>0</v>
      </c>
      <c r="AG45" s="51">
        <f t="shared" si="23"/>
        <v>0</v>
      </c>
      <c r="AH45" s="51">
        <f t="shared" si="24"/>
        <v>0</v>
      </c>
      <c r="AI45" s="51">
        <f t="shared" si="25"/>
        <v>0</v>
      </c>
      <c r="AJ45" s="51">
        <f t="shared" si="26"/>
        <v>0</v>
      </c>
      <c r="AK45" s="51">
        <f t="shared" si="27"/>
        <v>0</v>
      </c>
      <c r="AL45" s="51">
        <f t="shared" si="28"/>
        <v>0</v>
      </c>
      <c r="AM45" s="51">
        <f t="shared" si="29"/>
        <v>0</v>
      </c>
      <c r="AN45" s="51">
        <f t="shared" si="30"/>
        <v>0</v>
      </c>
      <c r="AO45" s="51">
        <f t="shared" si="31"/>
        <v>0</v>
      </c>
      <c r="AP45" s="51">
        <f t="shared" si="32"/>
        <v>0</v>
      </c>
      <c r="AQ45" s="51">
        <f t="shared" si="33"/>
        <v>0</v>
      </c>
      <c r="AR45" s="51">
        <f t="shared" si="34"/>
        <v>0</v>
      </c>
      <c r="AS45" s="51">
        <f t="shared" si="35"/>
        <v>0</v>
      </c>
    </row>
    <row r="46" spans="1:45">
      <c r="A46" s="51"/>
      <c r="B46" s="51"/>
      <c r="C46" s="51"/>
      <c r="D46" s="51"/>
      <c r="E46" s="51"/>
      <c r="F46" s="51"/>
      <c r="G46" s="51"/>
      <c r="H46" s="51"/>
      <c r="I46" s="51"/>
      <c r="J46" s="51"/>
      <c r="K46" s="51"/>
      <c r="L46" s="51"/>
      <c r="M46" s="51"/>
      <c r="N46" s="51"/>
      <c r="O46" s="51"/>
      <c r="P46" s="51"/>
      <c r="Q46" s="51"/>
      <c r="R46" s="51"/>
      <c r="S46" s="51"/>
      <c r="T46" s="51"/>
      <c r="U46" s="51"/>
      <c r="V46" s="51"/>
      <c r="W46" s="51"/>
      <c r="X46" s="51"/>
      <c r="Y46" s="51">
        <f t="shared" si="18"/>
        <v>0</v>
      </c>
      <c r="Z46" s="51">
        <f t="shared" si="19"/>
        <v>0</v>
      </c>
      <c r="AA46" s="51">
        <f t="shared" si="20"/>
        <v>0</v>
      </c>
      <c r="AB46" s="51"/>
      <c r="AC46" s="51"/>
      <c r="AD46" s="51"/>
      <c r="AE46" s="51">
        <f t="shared" si="21"/>
        <v>0</v>
      </c>
      <c r="AF46" s="51">
        <f t="shared" si="22"/>
        <v>0</v>
      </c>
      <c r="AG46" s="51">
        <f t="shared" si="23"/>
        <v>0</v>
      </c>
      <c r="AH46" s="51">
        <f t="shared" si="24"/>
        <v>0</v>
      </c>
      <c r="AI46" s="51">
        <f t="shared" si="25"/>
        <v>0</v>
      </c>
      <c r="AJ46" s="51">
        <f t="shared" si="26"/>
        <v>0</v>
      </c>
      <c r="AK46" s="51">
        <f t="shared" si="27"/>
        <v>0</v>
      </c>
      <c r="AL46" s="51">
        <f t="shared" si="28"/>
        <v>0</v>
      </c>
      <c r="AM46" s="51">
        <f t="shared" si="29"/>
        <v>0</v>
      </c>
      <c r="AN46" s="51">
        <f t="shared" si="30"/>
        <v>0</v>
      </c>
      <c r="AO46" s="51">
        <f t="shared" si="31"/>
        <v>0</v>
      </c>
      <c r="AP46" s="51">
        <f t="shared" si="32"/>
        <v>0</v>
      </c>
      <c r="AQ46" s="51">
        <f t="shared" si="33"/>
        <v>0</v>
      </c>
      <c r="AR46" s="51">
        <f t="shared" si="34"/>
        <v>0</v>
      </c>
      <c r="AS46" s="51">
        <f t="shared" si="35"/>
        <v>0</v>
      </c>
    </row>
    <row r="47" spans="1:45">
      <c r="A47" s="51"/>
      <c r="B47" s="51"/>
      <c r="C47" s="51"/>
      <c r="D47" s="51"/>
      <c r="E47" s="51"/>
      <c r="F47" s="51"/>
      <c r="G47" s="51"/>
      <c r="H47" s="51"/>
      <c r="I47" s="51"/>
      <c r="J47" s="51"/>
      <c r="K47" s="51"/>
      <c r="L47" s="51"/>
      <c r="M47" s="51"/>
      <c r="N47" s="51"/>
      <c r="O47" s="51"/>
      <c r="P47" s="51"/>
      <c r="Q47" s="51"/>
      <c r="R47" s="51"/>
      <c r="S47" s="51"/>
      <c r="T47" s="51"/>
      <c r="U47" s="51"/>
      <c r="V47" s="51"/>
      <c r="W47" s="51"/>
      <c r="X47" s="51"/>
      <c r="Y47" s="51">
        <f t="shared" si="18"/>
        <v>0</v>
      </c>
      <c r="Z47" s="51">
        <f t="shared" si="19"/>
        <v>0</v>
      </c>
      <c r="AA47" s="51">
        <f t="shared" si="20"/>
        <v>0</v>
      </c>
      <c r="AB47" s="51"/>
      <c r="AC47" s="51"/>
      <c r="AD47" s="51"/>
      <c r="AE47" s="51">
        <f t="shared" si="21"/>
        <v>0</v>
      </c>
      <c r="AF47" s="51">
        <f t="shared" si="22"/>
        <v>0</v>
      </c>
      <c r="AG47" s="51">
        <f t="shared" si="23"/>
        <v>0</v>
      </c>
      <c r="AH47" s="51">
        <f t="shared" si="24"/>
        <v>0</v>
      </c>
      <c r="AI47" s="51">
        <f t="shared" si="25"/>
        <v>0</v>
      </c>
      <c r="AJ47" s="51">
        <f t="shared" si="26"/>
        <v>0</v>
      </c>
      <c r="AK47" s="51">
        <f t="shared" si="27"/>
        <v>0</v>
      </c>
      <c r="AL47" s="51">
        <f t="shared" si="28"/>
        <v>0</v>
      </c>
      <c r="AM47" s="51">
        <f t="shared" si="29"/>
        <v>0</v>
      </c>
      <c r="AN47" s="51">
        <f t="shared" si="30"/>
        <v>0</v>
      </c>
      <c r="AO47" s="51">
        <f t="shared" si="31"/>
        <v>0</v>
      </c>
      <c r="AP47" s="51">
        <f t="shared" si="32"/>
        <v>0</v>
      </c>
      <c r="AQ47" s="51">
        <f t="shared" si="33"/>
        <v>0</v>
      </c>
      <c r="AR47" s="51">
        <f t="shared" si="34"/>
        <v>0</v>
      </c>
      <c r="AS47" s="51">
        <f t="shared" si="35"/>
        <v>0</v>
      </c>
    </row>
    <row r="48" spans="1:45">
      <c r="A48" s="51"/>
      <c r="B48" s="51"/>
      <c r="C48" s="51"/>
      <c r="D48" s="51"/>
      <c r="E48" s="51"/>
      <c r="F48" s="51"/>
      <c r="G48" s="51"/>
      <c r="H48" s="51"/>
      <c r="I48" s="51"/>
      <c r="J48" s="51"/>
      <c r="K48" s="51"/>
      <c r="L48" s="51"/>
      <c r="M48" s="51"/>
      <c r="N48" s="51"/>
      <c r="O48" s="51"/>
      <c r="P48" s="51"/>
      <c r="Q48" s="51"/>
      <c r="R48" s="51"/>
      <c r="S48" s="51"/>
      <c r="T48" s="51"/>
      <c r="U48" s="51"/>
      <c r="V48" s="51"/>
      <c r="W48" s="51"/>
      <c r="X48" s="51"/>
      <c r="Y48" s="51">
        <f t="shared" si="18"/>
        <v>0</v>
      </c>
      <c r="Z48" s="51">
        <f t="shared" si="19"/>
        <v>0</v>
      </c>
      <c r="AA48" s="51">
        <f t="shared" si="20"/>
        <v>0</v>
      </c>
      <c r="AB48" s="51"/>
      <c r="AC48" s="51"/>
      <c r="AD48" s="51"/>
      <c r="AE48" s="51">
        <f t="shared" si="21"/>
        <v>0</v>
      </c>
      <c r="AF48" s="51">
        <f t="shared" si="22"/>
        <v>0</v>
      </c>
      <c r="AG48" s="51">
        <f t="shared" si="23"/>
        <v>0</v>
      </c>
      <c r="AH48" s="51">
        <f t="shared" si="24"/>
        <v>0</v>
      </c>
      <c r="AI48" s="51">
        <f t="shared" si="25"/>
        <v>0</v>
      </c>
      <c r="AJ48" s="51">
        <f t="shared" si="26"/>
        <v>0</v>
      </c>
      <c r="AK48" s="51">
        <f t="shared" si="27"/>
        <v>0</v>
      </c>
      <c r="AL48" s="51">
        <f t="shared" si="28"/>
        <v>0</v>
      </c>
      <c r="AM48" s="51">
        <f t="shared" si="29"/>
        <v>0</v>
      </c>
      <c r="AN48" s="51">
        <f t="shared" si="30"/>
        <v>0</v>
      </c>
      <c r="AO48" s="51">
        <f t="shared" si="31"/>
        <v>0</v>
      </c>
      <c r="AP48" s="51">
        <f t="shared" si="32"/>
        <v>0</v>
      </c>
      <c r="AQ48" s="51">
        <f t="shared" si="33"/>
        <v>0</v>
      </c>
      <c r="AR48" s="51">
        <f t="shared" si="34"/>
        <v>0</v>
      </c>
      <c r="AS48" s="51">
        <f t="shared" si="35"/>
        <v>0</v>
      </c>
    </row>
    <row r="49" spans="1:45">
      <c r="A49" s="51"/>
      <c r="B49" s="51"/>
      <c r="C49" s="51"/>
      <c r="D49" s="51"/>
      <c r="E49" s="51"/>
      <c r="F49" s="51"/>
      <c r="G49" s="51"/>
      <c r="H49" s="51"/>
      <c r="I49" s="51"/>
      <c r="J49" s="51"/>
      <c r="K49" s="51"/>
      <c r="L49" s="51"/>
      <c r="M49" s="51"/>
      <c r="N49" s="51"/>
      <c r="O49" s="51"/>
      <c r="P49" s="51"/>
      <c r="Q49" s="51"/>
      <c r="R49" s="51"/>
      <c r="S49" s="51"/>
      <c r="T49" s="51"/>
      <c r="U49" s="51"/>
      <c r="V49" s="51"/>
      <c r="W49" s="51"/>
      <c r="X49" s="51"/>
      <c r="Y49" s="51">
        <f t="shared" si="18"/>
        <v>0</v>
      </c>
      <c r="Z49" s="51">
        <f t="shared" si="19"/>
        <v>0</v>
      </c>
      <c r="AA49" s="51">
        <f t="shared" si="20"/>
        <v>0</v>
      </c>
      <c r="AB49" s="51"/>
      <c r="AC49" s="51"/>
      <c r="AD49" s="51"/>
      <c r="AE49" s="51">
        <f t="shared" si="21"/>
        <v>0</v>
      </c>
      <c r="AF49" s="51">
        <f t="shared" si="22"/>
        <v>0</v>
      </c>
      <c r="AG49" s="51">
        <f t="shared" si="23"/>
        <v>0</v>
      </c>
      <c r="AH49" s="51">
        <f t="shared" si="24"/>
        <v>0</v>
      </c>
      <c r="AI49" s="51">
        <f t="shared" si="25"/>
        <v>0</v>
      </c>
      <c r="AJ49" s="51">
        <f t="shared" si="26"/>
        <v>0</v>
      </c>
      <c r="AK49" s="51">
        <f t="shared" si="27"/>
        <v>0</v>
      </c>
      <c r="AL49" s="51">
        <f t="shared" si="28"/>
        <v>0</v>
      </c>
      <c r="AM49" s="51">
        <f t="shared" si="29"/>
        <v>0</v>
      </c>
      <c r="AN49" s="51">
        <f t="shared" si="30"/>
        <v>0</v>
      </c>
      <c r="AO49" s="51">
        <f t="shared" si="31"/>
        <v>0</v>
      </c>
      <c r="AP49" s="51">
        <f t="shared" si="32"/>
        <v>0</v>
      </c>
      <c r="AQ49" s="51">
        <f t="shared" si="33"/>
        <v>0</v>
      </c>
      <c r="AR49" s="51">
        <f t="shared" si="34"/>
        <v>0</v>
      </c>
      <c r="AS49" s="51">
        <f t="shared" si="35"/>
        <v>0</v>
      </c>
    </row>
    <row r="50" spans="1:45">
      <c r="A50" s="51"/>
      <c r="B50" s="51"/>
      <c r="C50" s="51"/>
      <c r="D50" s="51"/>
      <c r="E50" s="51"/>
      <c r="F50" s="51"/>
      <c r="G50" s="51"/>
      <c r="H50" s="51"/>
      <c r="I50" s="51"/>
      <c r="J50" s="51"/>
      <c r="K50" s="51"/>
      <c r="L50" s="51"/>
      <c r="M50" s="51"/>
      <c r="N50" s="51"/>
      <c r="O50" s="51"/>
      <c r="P50" s="51"/>
      <c r="Q50" s="51"/>
      <c r="R50" s="51"/>
      <c r="S50" s="51"/>
      <c r="T50" s="51"/>
      <c r="U50" s="51"/>
      <c r="V50" s="51"/>
      <c r="W50" s="51"/>
      <c r="X50" s="51"/>
      <c r="Y50" s="51">
        <f t="shared" si="18"/>
        <v>0</v>
      </c>
      <c r="Z50" s="51">
        <f t="shared" si="19"/>
        <v>0</v>
      </c>
      <c r="AA50" s="51">
        <f t="shared" si="20"/>
        <v>0</v>
      </c>
      <c r="AB50" s="51"/>
      <c r="AC50" s="51"/>
      <c r="AD50" s="51"/>
      <c r="AE50" s="51">
        <f t="shared" si="21"/>
        <v>0</v>
      </c>
      <c r="AF50" s="51">
        <f t="shared" si="22"/>
        <v>0</v>
      </c>
      <c r="AG50" s="51">
        <f t="shared" si="23"/>
        <v>0</v>
      </c>
      <c r="AH50" s="51">
        <f t="shared" si="24"/>
        <v>0</v>
      </c>
      <c r="AI50" s="51">
        <f t="shared" si="25"/>
        <v>0</v>
      </c>
      <c r="AJ50" s="51">
        <f t="shared" si="26"/>
        <v>0</v>
      </c>
      <c r="AK50" s="51">
        <f t="shared" si="27"/>
        <v>0</v>
      </c>
      <c r="AL50" s="51">
        <f t="shared" si="28"/>
        <v>0</v>
      </c>
      <c r="AM50" s="51">
        <f t="shared" si="29"/>
        <v>0</v>
      </c>
      <c r="AN50" s="51">
        <f t="shared" si="30"/>
        <v>0</v>
      </c>
      <c r="AO50" s="51">
        <f t="shared" si="31"/>
        <v>0</v>
      </c>
      <c r="AP50" s="51">
        <f t="shared" si="32"/>
        <v>0</v>
      </c>
      <c r="AQ50" s="51">
        <f t="shared" si="33"/>
        <v>0</v>
      </c>
      <c r="AR50" s="51">
        <f t="shared" si="34"/>
        <v>0</v>
      </c>
      <c r="AS50" s="51">
        <f t="shared" si="35"/>
        <v>0</v>
      </c>
    </row>
    <row r="51" spans="1:45">
      <c r="A51" s="51"/>
      <c r="B51" s="51"/>
      <c r="C51" s="51"/>
      <c r="D51" s="51"/>
      <c r="E51" s="51"/>
      <c r="F51" s="51"/>
      <c r="G51" s="51"/>
      <c r="H51" s="51"/>
      <c r="I51" s="51"/>
      <c r="J51" s="51"/>
      <c r="K51" s="51"/>
      <c r="L51" s="51"/>
      <c r="M51" s="51"/>
      <c r="N51" s="51"/>
      <c r="O51" s="51"/>
      <c r="P51" s="51"/>
      <c r="Q51" s="51"/>
      <c r="R51" s="51"/>
      <c r="S51" s="51"/>
      <c r="T51" s="51"/>
      <c r="U51" s="51"/>
      <c r="V51" s="51"/>
      <c r="W51" s="51"/>
      <c r="X51" s="51"/>
      <c r="Y51" s="51">
        <f t="shared" si="18"/>
        <v>0</v>
      </c>
      <c r="Z51" s="51">
        <f t="shared" si="19"/>
        <v>0</v>
      </c>
      <c r="AA51" s="51">
        <f t="shared" si="20"/>
        <v>0</v>
      </c>
      <c r="AB51" s="51"/>
      <c r="AC51" s="51"/>
      <c r="AD51" s="51"/>
      <c r="AE51" s="51">
        <f t="shared" si="21"/>
        <v>0</v>
      </c>
      <c r="AF51" s="51">
        <f t="shared" si="22"/>
        <v>0</v>
      </c>
      <c r="AG51" s="51">
        <f t="shared" si="23"/>
        <v>0</v>
      </c>
      <c r="AH51" s="51">
        <f t="shared" si="24"/>
        <v>0</v>
      </c>
      <c r="AI51" s="51">
        <f t="shared" si="25"/>
        <v>0</v>
      </c>
      <c r="AJ51" s="51">
        <f t="shared" si="26"/>
        <v>0</v>
      </c>
      <c r="AK51" s="51">
        <f t="shared" si="27"/>
        <v>0</v>
      </c>
      <c r="AL51" s="51">
        <f t="shared" si="28"/>
        <v>0</v>
      </c>
      <c r="AM51" s="51">
        <f t="shared" si="29"/>
        <v>0</v>
      </c>
      <c r="AN51" s="51">
        <f t="shared" si="30"/>
        <v>0</v>
      </c>
      <c r="AO51" s="51">
        <f t="shared" si="31"/>
        <v>0</v>
      </c>
      <c r="AP51" s="51">
        <f t="shared" si="32"/>
        <v>0</v>
      </c>
      <c r="AQ51" s="51">
        <f t="shared" si="33"/>
        <v>0</v>
      </c>
      <c r="AR51" s="51">
        <f t="shared" si="34"/>
        <v>0</v>
      </c>
      <c r="AS51" s="51">
        <f t="shared" si="35"/>
        <v>0</v>
      </c>
    </row>
    <row r="52" spans="1:45">
      <c r="A52" s="51" t="s">
        <v>29</v>
      </c>
      <c r="B52" s="51"/>
      <c r="C52" s="51"/>
      <c r="D52" s="51"/>
      <c r="E52" s="51"/>
      <c r="F52" s="51"/>
      <c r="G52" s="51"/>
      <c r="H52" s="51"/>
      <c r="I52" s="51"/>
      <c r="J52" s="51"/>
      <c r="K52" s="51"/>
      <c r="L52" s="51"/>
      <c r="M52" s="51"/>
      <c r="N52" s="51"/>
      <c r="O52" s="51"/>
      <c r="P52" s="51"/>
      <c r="Q52" s="51"/>
      <c r="R52" s="51"/>
      <c r="S52" s="51"/>
      <c r="T52" s="51"/>
      <c r="U52" s="51"/>
      <c r="V52" s="51"/>
      <c r="W52" s="51"/>
      <c r="X52" s="51"/>
      <c r="Y52" s="51">
        <f>SUM(Y2:Y51)</f>
        <v>0</v>
      </c>
      <c r="Z52" s="51">
        <f>SUM(Z2:Z51)</f>
        <v>0</v>
      </c>
      <c r="AA52" s="51">
        <f>SUM(AA2:AA51)</f>
        <v>0</v>
      </c>
      <c r="AB52" s="51"/>
      <c r="AC52" s="51"/>
      <c r="AD52" s="51"/>
      <c r="AE52" s="51">
        <f t="shared" ref="AE52:AS52" si="36">SUM(AE2:AE51)</f>
        <v>0</v>
      </c>
      <c r="AF52" s="51">
        <f t="shared" si="36"/>
        <v>0</v>
      </c>
      <c r="AG52" s="51">
        <f t="shared" si="36"/>
        <v>0</v>
      </c>
      <c r="AH52" s="51">
        <f t="shared" si="36"/>
        <v>0</v>
      </c>
      <c r="AI52" s="51">
        <f t="shared" si="36"/>
        <v>0</v>
      </c>
      <c r="AJ52" s="51">
        <f t="shared" si="36"/>
        <v>0</v>
      </c>
      <c r="AK52" s="51">
        <f t="shared" si="36"/>
        <v>0</v>
      </c>
      <c r="AL52" s="51">
        <f t="shared" si="36"/>
        <v>0</v>
      </c>
      <c r="AM52" s="51">
        <f t="shared" si="36"/>
        <v>0</v>
      </c>
      <c r="AN52" s="51">
        <f t="shared" si="36"/>
        <v>0</v>
      </c>
      <c r="AO52" s="51">
        <f t="shared" si="36"/>
        <v>0</v>
      </c>
      <c r="AP52" s="51">
        <f t="shared" si="36"/>
        <v>0</v>
      </c>
      <c r="AQ52" s="51">
        <f t="shared" si="36"/>
        <v>0</v>
      </c>
      <c r="AR52" s="51">
        <f t="shared" si="36"/>
        <v>0</v>
      </c>
      <c r="AS52" s="51">
        <f t="shared" si="36"/>
        <v>0</v>
      </c>
    </row>
    <row r="53" spans="1:45">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2"/>
    </row>
    <row r="54" spans="1:4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row>
  </sheetData>
  <phoneticPr fontId="3" type="noConversion"/>
  <conditionalFormatting sqref="A52:AS52 A2:AC51 AE2:AS51">
    <cfRule type="expression" dxfId="42" priority="5">
      <formula>UPPER(TRIM($W2&amp;""))="CANCELLED"</formula>
    </cfRule>
  </conditionalFormatting>
  <conditionalFormatting sqref="A2:AS51">
    <cfRule type="expression" dxfId="41" priority="3">
      <formula>LOWER(TRIM($AD2))="empty"</formula>
    </cfRule>
  </conditionalFormatting>
  <conditionalFormatting sqref="A1:AS52">
    <cfRule type="expression" dxfId="40" priority="1">
      <formula>AND(ISNUMBER($A$2),MOD($A$2,2)=0)</formula>
    </cfRule>
  </conditionalFormatting>
  <dataValidations count="2">
    <dataValidation type="list" allowBlank="1" showInputMessage="1" showErrorMessage="1" errorTitle="Choose a valid row status" error="Select Active or Cancelled from the list." promptTitle="Row status" prompt="Cancelled rows remain visible but contribute zero to Summary, TEU, and TS." sqref="W2:W51" xr:uid="{FABC6FA8-DB91-468B-8443-1439D72E67D5}">
      <formula1>"Active,Cancelled"</formula1>
    </dataValidation>
    <dataValidation type="list" allowBlank="1" showInputMessage="1" showErrorMessage="1" errorTitle="Choose a valid load status" error="Select Loaded or Empty from the list." promptTitle="Load status" prompt="Loaded/Empty is separate from Active/Cancelled. Cancelled rows calculate as zero." sqref="AD2:AD51" xr:uid="{7240A399-7127-4D97-B67C-8F85C9935C58}">
      <formula1>"Loaded,Empty"</formula1>
    </dataValidation>
  </dataValidations>
  <pageMargins left="0.7" right="0.7" top="0.75" bottom="0.75" header="0.3" footer="0.3"/>
  <pageSetup paperSize="9" orientation="portrait"/>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F94773-5E22-43A6-B406-BDE4C0334AF0}">
  <sheetPr codeName="Sheet3"/>
  <dimension ref="A1:P36"/>
  <sheetViews>
    <sheetView zoomScale="93" workbookViewId="0">
      <pane ySplit="1" topLeftCell="A2" activePane="bottomLeft" state="frozen"/>
      <selection pane="bottomLeft" activeCell="C17" sqref="C17"/>
    </sheetView>
  </sheetViews>
  <sheetFormatPr baseColWidth="10" defaultColWidth="8.6640625" defaultRowHeight="15"/>
  <cols>
    <col min="1" max="1" width="27.6640625" customWidth="1"/>
    <col min="2" max="2" width="14.33203125" customWidth="1"/>
    <col min="3" max="3" width="14.6640625" customWidth="1"/>
    <col min="4" max="4" width="16.1640625" customWidth="1"/>
    <col min="7" max="7" width="14.5" customWidth="1"/>
    <col min="8" max="8" width="17.6640625" customWidth="1"/>
    <col min="9" max="9" width="13.5" customWidth="1"/>
    <col min="10" max="10" width="18.33203125" customWidth="1"/>
    <col min="11" max="11" width="22.5" customWidth="1"/>
    <col min="12" max="12" width="14.6640625" customWidth="1"/>
    <col min="13" max="13" width="15.6640625" customWidth="1"/>
  </cols>
  <sheetData>
    <row r="1" spans="1:16">
      <c r="A1" t="s">
        <v>31</v>
      </c>
      <c r="B1" t="s">
        <v>32</v>
      </c>
      <c r="C1" t="s">
        <v>27</v>
      </c>
      <c r="D1" t="s">
        <v>28</v>
      </c>
      <c r="E1" t="s">
        <v>0</v>
      </c>
      <c r="F1" t="s">
        <v>1</v>
      </c>
      <c r="G1" t="s">
        <v>2</v>
      </c>
      <c r="H1" t="s">
        <v>8</v>
      </c>
      <c r="I1" t="s">
        <v>7</v>
      </c>
      <c r="J1" t="s">
        <v>21</v>
      </c>
      <c r="K1" t="s">
        <v>23</v>
      </c>
      <c r="L1" t="s">
        <v>33</v>
      </c>
      <c r="M1" t="s">
        <v>34</v>
      </c>
      <c r="N1" t="s">
        <v>35</v>
      </c>
      <c r="O1" t="s">
        <v>36</v>
      </c>
      <c r="P1" t="s">
        <v>37</v>
      </c>
    </row>
    <row r="2" spans="1:16">
      <c r="A2" s="4">
        <v>46258.381944399996</v>
      </c>
      <c r="B2" t="s">
        <v>319</v>
      </c>
      <c r="C2" t="s">
        <v>115</v>
      </c>
      <c r="D2" t="s">
        <v>116</v>
      </c>
      <c r="E2">
        <v>36</v>
      </c>
      <c r="F2" t="s">
        <v>100</v>
      </c>
      <c r="G2" t="s">
        <v>101</v>
      </c>
      <c r="H2" t="s">
        <v>103</v>
      </c>
      <c r="I2" t="s">
        <v>102</v>
      </c>
      <c r="J2" t="s">
        <v>113</v>
      </c>
      <c r="L2" t="s">
        <v>3</v>
      </c>
      <c r="M2" t="s">
        <v>320</v>
      </c>
      <c r="N2" t="s">
        <v>321</v>
      </c>
      <c r="O2">
        <f t="shared" ref="O2:O36" si="0">IF(A2="","",YEAR(A2))</f>
        <v>2026</v>
      </c>
      <c r="P2">
        <f t="shared" ref="P2:P36" si="1">IF(A2="","",MONTH(A2))</f>
        <v>8</v>
      </c>
    </row>
    <row r="3" spans="1:16">
      <c r="A3" s="4">
        <v>46258.392361099999</v>
      </c>
      <c r="B3" t="s">
        <v>319</v>
      </c>
      <c r="C3" t="s">
        <v>115</v>
      </c>
      <c r="D3" t="s">
        <v>116</v>
      </c>
      <c r="E3">
        <v>36</v>
      </c>
      <c r="F3" t="s">
        <v>100</v>
      </c>
      <c r="G3" t="s">
        <v>101</v>
      </c>
      <c r="H3" t="s">
        <v>103</v>
      </c>
      <c r="I3" t="s">
        <v>102</v>
      </c>
      <c r="J3" t="s">
        <v>113</v>
      </c>
      <c r="L3" t="s">
        <v>12</v>
      </c>
      <c r="M3">
        <v>2</v>
      </c>
      <c r="N3">
        <v>3</v>
      </c>
      <c r="O3">
        <f t="shared" si="0"/>
        <v>2026</v>
      </c>
      <c r="P3">
        <f t="shared" si="1"/>
        <v>8</v>
      </c>
    </row>
    <row r="4" spans="1:16">
      <c r="A4" s="4">
        <v>46258.402777800002</v>
      </c>
      <c r="B4" t="s">
        <v>319</v>
      </c>
      <c r="C4" t="s">
        <v>115</v>
      </c>
      <c r="D4" t="s">
        <v>116</v>
      </c>
      <c r="E4">
        <v>36</v>
      </c>
      <c r="F4" t="s">
        <v>100</v>
      </c>
      <c r="G4" t="s">
        <v>101</v>
      </c>
      <c r="H4" t="s">
        <v>103</v>
      </c>
      <c r="I4" t="s">
        <v>102</v>
      </c>
      <c r="J4" t="s">
        <v>113</v>
      </c>
      <c r="L4" t="s">
        <v>15</v>
      </c>
      <c r="M4">
        <v>50000</v>
      </c>
      <c r="N4">
        <v>54000</v>
      </c>
      <c r="O4">
        <f t="shared" si="0"/>
        <v>2026</v>
      </c>
      <c r="P4">
        <f t="shared" si="1"/>
        <v>8</v>
      </c>
    </row>
    <row r="5" spans="1:16">
      <c r="A5" s="4">
        <v>46259.416666700003</v>
      </c>
      <c r="B5" t="s">
        <v>319</v>
      </c>
      <c r="C5" t="s">
        <v>115</v>
      </c>
      <c r="D5" t="s">
        <v>120</v>
      </c>
      <c r="E5">
        <v>36</v>
      </c>
      <c r="F5" t="s">
        <v>100</v>
      </c>
      <c r="G5" t="s">
        <v>101</v>
      </c>
      <c r="H5" t="s">
        <v>117</v>
      </c>
      <c r="I5" t="s">
        <v>102</v>
      </c>
      <c r="J5" t="s">
        <v>113</v>
      </c>
      <c r="L5" t="s">
        <v>89</v>
      </c>
      <c r="M5" t="s">
        <v>126</v>
      </c>
      <c r="N5" t="s">
        <v>121</v>
      </c>
      <c r="O5">
        <f t="shared" si="0"/>
        <v>2026</v>
      </c>
      <c r="P5">
        <f t="shared" si="1"/>
        <v>8</v>
      </c>
    </row>
    <row r="6" spans="1:16">
      <c r="A6" s="4">
        <v>46259.430555600004</v>
      </c>
      <c r="B6" t="s">
        <v>319</v>
      </c>
      <c r="C6" t="s">
        <v>115</v>
      </c>
      <c r="D6" t="s">
        <v>120</v>
      </c>
      <c r="E6">
        <v>36</v>
      </c>
      <c r="F6" t="s">
        <v>100</v>
      </c>
      <c r="G6" t="s">
        <v>101</v>
      </c>
      <c r="H6" t="s">
        <v>117</v>
      </c>
      <c r="I6" t="s">
        <v>102</v>
      </c>
      <c r="J6" t="s">
        <v>113</v>
      </c>
      <c r="L6" t="s">
        <v>13</v>
      </c>
      <c r="M6">
        <v>2</v>
      </c>
      <c r="N6">
        <v>4</v>
      </c>
      <c r="O6">
        <f t="shared" si="0"/>
        <v>2026</v>
      </c>
      <c r="P6">
        <f t="shared" si="1"/>
        <v>8</v>
      </c>
    </row>
    <row r="7" spans="1:16">
      <c r="A7" s="4">
        <v>46260.364583299997</v>
      </c>
      <c r="B7" t="s">
        <v>319</v>
      </c>
      <c r="C7" t="s">
        <v>115</v>
      </c>
      <c r="D7" t="s">
        <v>135</v>
      </c>
      <c r="E7">
        <v>36</v>
      </c>
      <c r="F7" t="s">
        <v>127</v>
      </c>
      <c r="G7" t="s">
        <v>128</v>
      </c>
      <c r="H7" t="s">
        <v>129</v>
      </c>
      <c r="I7" t="s">
        <v>102</v>
      </c>
      <c r="J7" t="s">
        <v>113</v>
      </c>
      <c r="L7" t="s">
        <v>5</v>
      </c>
      <c r="M7" t="s">
        <v>320</v>
      </c>
      <c r="N7" t="s">
        <v>321</v>
      </c>
      <c r="O7">
        <f t="shared" si="0"/>
        <v>2026</v>
      </c>
      <c r="P7">
        <f t="shared" si="1"/>
        <v>8</v>
      </c>
    </row>
    <row r="8" spans="1:16">
      <c r="A8" s="4">
        <v>46261.59375</v>
      </c>
      <c r="B8" t="s">
        <v>319</v>
      </c>
      <c r="C8" t="s">
        <v>115</v>
      </c>
      <c r="D8" t="s">
        <v>140</v>
      </c>
      <c r="E8">
        <v>36</v>
      </c>
      <c r="F8" t="s">
        <v>127</v>
      </c>
      <c r="G8" t="s">
        <v>128</v>
      </c>
      <c r="H8" t="s">
        <v>137</v>
      </c>
      <c r="I8" t="s">
        <v>102</v>
      </c>
      <c r="J8" t="s">
        <v>113</v>
      </c>
      <c r="K8" t="s">
        <v>139</v>
      </c>
      <c r="L8" t="s">
        <v>22</v>
      </c>
      <c r="M8" t="s">
        <v>114</v>
      </c>
      <c r="N8" t="s">
        <v>138</v>
      </c>
      <c r="O8">
        <f t="shared" si="0"/>
        <v>2026</v>
      </c>
      <c r="P8">
        <f t="shared" si="1"/>
        <v>8</v>
      </c>
    </row>
    <row r="9" spans="1:16">
      <c r="A9" s="4">
        <v>46261.594444399998</v>
      </c>
      <c r="B9" t="s">
        <v>319</v>
      </c>
      <c r="C9" t="s">
        <v>115</v>
      </c>
      <c r="D9" t="s">
        <v>140</v>
      </c>
      <c r="E9">
        <v>36</v>
      </c>
      <c r="F9" t="s">
        <v>127</v>
      </c>
      <c r="G9" t="s">
        <v>128</v>
      </c>
      <c r="H9" t="s">
        <v>137</v>
      </c>
      <c r="I9" t="s">
        <v>102</v>
      </c>
      <c r="J9" t="s">
        <v>113</v>
      </c>
      <c r="K9" t="s">
        <v>139</v>
      </c>
      <c r="L9" t="s">
        <v>23</v>
      </c>
      <c r="N9" t="s">
        <v>139</v>
      </c>
      <c r="O9">
        <f t="shared" si="0"/>
        <v>2026</v>
      </c>
      <c r="P9">
        <f t="shared" si="1"/>
        <v>8</v>
      </c>
    </row>
    <row r="10" spans="1:16">
      <c r="A10" s="4">
        <v>46262.479166700003</v>
      </c>
      <c r="B10" t="s">
        <v>319</v>
      </c>
      <c r="C10" t="s">
        <v>115</v>
      </c>
      <c r="D10" t="s">
        <v>146</v>
      </c>
      <c r="E10">
        <v>36</v>
      </c>
      <c r="F10" t="s">
        <v>141</v>
      </c>
      <c r="G10" t="s">
        <v>142</v>
      </c>
      <c r="H10" t="s">
        <v>143</v>
      </c>
      <c r="I10" t="s">
        <v>102</v>
      </c>
      <c r="J10" t="s">
        <v>113</v>
      </c>
      <c r="L10" t="s">
        <v>3</v>
      </c>
      <c r="M10" t="s">
        <v>322</v>
      </c>
      <c r="N10" t="s">
        <v>323</v>
      </c>
      <c r="O10">
        <f t="shared" si="0"/>
        <v>2026</v>
      </c>
      <c r="P10">
        <f t="shared" si="1"/>
        <v>8</v>
      </c>
    </row>
    <row r="11" spans="1:16">
      <c r="A11" s="4">
        <v>46266.354166700003</v>
      </c>
      <c r="B11" t="s">
        <v>319</v>
      </c>
      <c r="C11" t="s">
        <v>192</v>
      </c>
      <c r="D11" t="s">
        <v>193</v>
      </c>
      <c r="E11">
        <v>37</v>
      </c>
      <c r="F11" t="s">
        <v>100</v>
      </c>
      <c r="G11" t="s">
        <v>190</v>
      </c>
      <c r="H11" t="s">
        <v>191</v>
      </c>
      <c r="I11" t="s">
        <v>102</v>
      </c>
      <c r="J11" t="s">
        <v>113</v>
      </c>
      <c r="L11" t="s">
        <v>3</v>
      </c>
      <c r="M11" t="s">
        <v>324</v>
      </c>
      <c r="N11" t="s">
        <v>325</v>
      </c>
      <c r="O11">
        <f t="shared" si="0"/>
        <v>2026</v>
      </c>
      <c r="P11">
        <f t="shared" si="1"/>
        <v>9</v>
      </c>
    </row>
    <row r="12" spans="1:16">
      <c r="A12" s="4">
        <v>46266.364583299997</v>
      </c>
      <c r="B12" t="s">
        <v>319</v>
      </c>
      <c r="C12" t="s">
        <v>192</v>
      </c>
      <c r="D12" t="s">
        <v>193</v>
      </c>
      <c r="E12">
        <v>37</v>
      </c>
      <c r="F12" t="s">
        <v>100</v>
      </c>
      <c r="G12" t="s">
        <v>190</v>
      </c>
      <c r="H12" t="s">
        <v>191</v>
      </c>
      <c r="I12" t="s">
        <v>102</v>
      </c>
      <c r="J12" t="s">
        <v>113</v>
      </c>
      <c r="L12" t="s">
        <v>12</v>
      </c>
      <c r="M12">
        <v>3</v>
      </c>
      <c r="N12">
        <v>4</v>
      </c>
      <c r="O12">
        <f t="shared" si="0"/>
        <v>2026</v>
      </c>
      <c r="P12">
        <f t="shared" si="1"/>
        <v>9</v>
      </c>
    </row>
    <row r="13" spans="1:16">
      <c r="A13" s="4">
        <v>46266.381944399996</v>
      </c>
      <c r="B13" t="s">
        <v>319</v>
      </c>
      <c r="C13" t="s">
        <v>192</v>
      </c>
      <c r="D13" t="s">
        <v>195</v>
      </c>
      <c r="E13">
        <v>37</v>
      </c>
      <c r="F13" t="s">
        <v>100</v>
      </c>
      <c r="G13" t="s">
        <v>190</v>
      </c>
      <c r="H13" t="s">
        <v>194</v>
      </c>
      <c r="I13" t="s">
        <v>102</v>
      </c>
      <c r="J13" t="s">
        <v>113</v>
      </c>
      <c r="L13" t="s">
        <v>89</v>
      </c>
      <c r="M13" t="s">
        <v>126</v>
      </c>
      <c r="N13" t="s">
        <v>121</v>
      </c>
      <c r="O13">
        <f t="shared" si="0"/>
        <v>2026</v>
      </c>
      <c r="P13">
        <f t="shared" si="1"/>
        <v>9</v>
      </c>
    </row>
    <row r="14" spans="1:16">
      <c r="A14" s="4">
        <v>46266.416666700003</v>
      </c>
      <c r="B14" t="s">
        <v>319</v>
      </c>
      <c r="C14" t="s">
        <v>115</v>
      </c>
      <c r="D14" t="s">
        <v>217</v>
      </c>
      <c r="E14">
        <v>36</v>
      </c>
      <c r="F14" t="s">
        <v>100</v>
      </c>
      <c r="G14" t="s">
        <v>190</v>
      </c>
      <c r="H14" t="s">
        <v>216</v>
      </c>
      <c r="I14" t="s">
        <v>215</v>
      </c>
      <c r="J14" t="s">
        <v>113</v>
      </c>
      <c r="L14" t="s">
        <v>15</v>
      </c>
      <c r="M14">
        <v>58000</v>
      </c>
      <c r="N14">
        <v>60000</v>
      </c>
      <c r="O14">
        <f t="shared" si="0"/>
        <v>2026</v>
      </c>
      <c r="P14">
        <f t="shared" si="1"/>
        <v>9</v>
      </c>
    </row>
    <row r="15" spans="1:16">
      <c r="A15" s="4">
        <v>46267.416666700003</v>
      </c>
      <c r="B15" t="s">
        <v>319</v>
      </c>
      <c r="C15" t="s">
        <v>192</v>
      </c>
      <c r="D15" t="s">
        <v>198</v>
      </c>
      <c r="E15">
        <v>37</v>
      </c>
      <c r="F15" t="s">
        <v>127</v>
      </c>
      <c r="G15" t="s">
        <v>196</v>
      </c>
      <c r="H15" t="s">
        <v>197</v>
      </c>
      <c r="I15" t="s">
        <v>102</v>
      </c>
      <c r="J15" t="s">
        <v>113</v>
      </c>
      <c r="L15" t="s">
        <v>1</v>
      </c>
      <c r="M15" t="s">
        <v>326</v>
      </c>
      <c r="N15" t="s">
        <v>127</v>
      </c>
      <c r="O15">
        <f t="shared" si="0"/>
        <v>2026</v>
      </c>
      <c r="P15">
        <f t="shared" si="1"/>
        <v>9</v>
      </c>
    </row>
    <row r="16" spans="1:16">
      <c r="A16" s="4">
        <v>46267.416666700003</v>
      </c>
      <c r="B16" t="s">
        <v>319</v>
      </c>
      <c r="C16" t="s">
        <v>192</v>
      </c>
      <c r="D16" t="s">
        <v>217</v>
      </c>
      <c r="E16">
        <v>37</v>
      </c>
      <c r="F16" t="s">
        <v>100</v>
      </c>
      <c r="G16" t="s">
        <v>190</v>
      </c>
      <c r="H16" t="s">
        <v>216</v>
      </c>
      <c r="I16" t="s">
        <v>215</v>
      </c>
      <c r="J16" t="s">
        <v>113</v>
      </c>
      <c r="L16" t="s">
        <v>0</v>
      </c>
      <c r="M16">
        <v>36</v>
      </c>
      <c r="N16">
        <v>37</v>
      </c>
      <c r="O16">
        <f t="shared" si="0"/>
        <v>2026</v>
      </c>
      <c r="P16">
        <f t="shared" si="1"/>
        <v>9</v>
      </c>
    </row>
    <row r="17" spans="1:16">
      <c r="A17" s="4">
        <v>46267.418055599999</v>
      </c>
      <c r="B17" t="s">
        <v>319</v>
      </c>
      <c r="C17" t="s">
        <v>192</v>
      </c>
      <c r="D17" t="s">
        <v>198</v>
      </c>
      <c r="E17">
        <v>37</v>
      </c>
      <c r="F17" t="s">
        <v>127</v>
      </c>
      <c r="G17" t="s">
        <v>196</v>
      </c>
      <c r="H17" t="s">
        <v>197</v>
      </c>
      <c r="I17" t="s">
        <v>102</v>
      </c>
      <c r="J17" t="s">
        <v>113</v>
      </c>
      <c r="L17" t="s">
        <v>2</v>
      </c>
      <c r="M17" t="s">
        <v>327</v>
      </c>
      <c r="N17" t="s">
        <v>196</v>
      </c>
      <c r="O17">
        <f t="shared" si="0"/>
        <v>2026</v>
      </c>
      <c r="P17">
        <f t="shared" si="1"/>
        <v>9</v>
      </c>
    </row>
    <row r="18" spans="1:16">
      <c r="A18" s="4">
        <v>46267.427083299997</v>
      </c>
      <c r="B18" t="s">
        <v>319</v>
      </c>
      <c r="C18" t="s">
        <v>192</v>
      </c>
      <c r="D18" t="s">
        <v>198</v>
      </c>
      <c r="E18">
        <v>37</v>
      </c>
      <c r="F18" t="s">
        <v>127</v>
      </c>
      <c r="G18" t="s">
        <v>196</v>
      </c>
      <c r="H18" t="s">
        <v>197</v>
      </c>
      <c r="I18" t="s">
        <v>102</v>
      </c>
      <c r="J18" t="s">
        <v>113</v>
      </c>
      <c r="L18" t="s">
        <v>15</v>
      </c>
      <c r="M18">
        <v>86000</v>
      </c>
      <c r="N18">
        <v>91000</v>
      </c>
      <c r="O18">
        <f t="shared" si="0"/>
        <v>2026</v>
      </c>
      <c r="P18">
        <f t="shared" si="1"/>
        <v>9</v>
      </c>
    </row>
    <row r="19" spans="1:16">
      <c r="A19" s="4">
        <v>46268.416666700003</v>
      </c>
      <c r="B19" t="s">
        <v>319</v>
      </c>
      <c r="C19" t="s">
        <v>192</v>
      </c>
      <c r="D19" t="s">
        <v>217</v>
      </c>
      <c r="E19">
        <v>37</v>
      </c>
      <c r="F19" t="s">
        <v>100</v>
      </c>
      <c r="G19" t="s">
        <v>190</v>
      </c>
      <c r="H19" t="s">
        <v>216</v>
      </c>
      <c r="I19" t="s">
        <v>215</v>
      </c>
      <c r="J19" t="s">
        <v>113</v>
      </c>
      <c r="L19" t="s">
        <v>89</v>
      </c>
      <c r="M19" t="s">
        <v>126</v>
      </c>
      <c r="N19" t="s">
        <v>121</v>
      </c>
      <c r="O19">
        <f t="shared" si="0"/>
        <v>2026</v>
      </c>
      <c r="P19">
        <f t="shared" si="1"/>
        <v>9</v>
      </c>
    </row>
    <row r="20" spans="1:16">
      <c r="A20" s="4">
        <v>46268.541666700003</v>
      </c>
      <c r="B20" t="s">
        <v>319</v>
      </c>
      <c r="C20" t="s">
        <v>192</v>
      </c>
      <c r="D20" t="s">
        <v>200</v>
      </c>
      <c r="E20">
        <v>37</v>
      </c>
      <c r="F20" t="s">
        <v>127</v>
      </c>
      <c r="G20" t="s">
        <v>196</v>
      </c>
      <c r="H20" t="s">
        <v>199</v>
      </c>
      <c r="I20" t="s">
        <v>102</v>
      </c>
      <c r="J20" t="s">
        <v>113</v>
      </c>
      <c r="L20" t="s">
        <v>6</v>
      </c>
      <c r="M20" t="s">
        <v>328</v>
      </c>
      <c r="N20" t="s">
        <v>329</v>
      </c>
      <c r="O20">
        <f t="shared" si="0"/>
        <v>2026</v>
      </c>
      <c r="P20">
        <f t="shared" si="1"/>
        <v>9</v>
      </c>
    </row>
    <row r="21" spans="1:16">
      <c r="A21" s="4">
        <v>46268.5625</v>
      </c>
      <c r="B21" t="s">
        <v>319</v>
      </c>
      <c r="C21" t="s">
        <v>192</v>
      </c>
      <c r="D21" t="s">
        <v>203</v>
      </c>
      <c r="E21">
        <v>37</v>
      </c>
      <c r="F21" t="s">
        <v>141</v>
      </c>
      <c r="G21" t="s">
        <v>201</v>
      </c>
      <c r="H21" t="s">
        <v>202</v>
      </c>
      <c r="I21" t="s">
        <v>102</v>
      </c>
      <c r="J21" t="s">
        <v>113</v>
      </c>
      <c r="L21" t="s">
        <v>11</v>
      </c>
      <c r="M21" t="s">
        <v>330</v>
      </c>
      <c r="N21" t="s">
        <v>106</v>
      </c>
      <c r="O21">
        <f t="shared" si="0"/>
        <v>2026</v>
      </c>
      <c r="P21">
        <f t="shared" si="1"/>
        <v>9</v>
      </c>
    </row>
    <row r="22" spans="1:16">
      <c r="A22" s="4">
        <v>46269.395833299997</v>
      </c>
      <c r="B22" t="s">
        <v>319</v>
      </c>
      <c r="C22" t="s">
        <v>192</v>
      </c>
      <c r="D22" t="s">
        <v>205</v>
      </c>
      <c r="E22">
        <v>37</v>
      </c>
      <c r="F22" t="s">
        <v>141</v>
      </c>
      <c r="G22" t="s">
        <v>201</v>
      </c>
      <c r="H22" t="s">
        <v>204</v>
      </c>
      <c r="I22" t="s">
        <v>102</v>
      </c>
      <c r="J22" t="s">
        <v>113</v>
      </c>
      <c r="L22" t="s">
        <v>12</v>
      </c>
      <c r="M22">
        <v>2</v>
      </c>
      <c r="N22">
        <v>3</v>
      </c>
      <c r="O22">
        <f t="shared" si="0"/>
        <v>2026</v>
      </c>
      <c r="P22">
        <f t="shared" si="1"/>
        <v>9</v>
      </c>
    </row>
    <row r="23" spans="1:16">
      <c r="A23" s="4">
        <v>46269.416666700003</v>
      </c>
      <c r="B23" t="s">
        <v>319</v>
      </c>
      <c r="C23" t="s">
        <v>192</v>
      </c>
      <c r="D23" t="s">
        <v>217</v>
      </c>
      <c r="E23">
        <v>37</v>
      </c>
      <c r="F23" t="s">
        <v>100</v>
      </c>
      <c r="G23" t="s">
        <v>190</v>
      </c>
      <c r="H23" t="s">
        <v>216</v>
      </c>
      <c r="I23" t="s">
        <v>215</v>
      </c>
      <c r="J23" t="s">
        <v>113</v>
      </c>
      <c r="L23" t="s">
        <v>3</v>
      </c>
      <c r="M23" t="s">
        <v>325</v>
      </c>
      <c r="N23" t="s">
        <v>331</v>
      </c>
      <c r="O23">
        <f t="shared" si="0"/>
        <v>2026</v>
      </c>
      <c r="P23">
        <f t="shared" si="1"/>
        <v>9</v>
      </c>
    </row>
    <row r="24" spans="1:16">
      <c r="A24" s="4">
        <v>46269.625</v>
      </c>
      <c r="B24" t="s">
        <v>319</v>
      </c>
      <c r="C24" t="s">
        <v>192</v>
      </c>
      <c r="D24" t="s">
        <v>208</v>
      </c>
      <c r="E24">
        <v>37</v>
      </c>
      <c r="F24" t="s">
        <v>141</v>
      </c>
      <c r="G24" t="s">
        <v>201</v>
      </c>
      <c r="H24" t="s">
        <v>206</v>
      </c>
      <c r="I24" t="s">
        <v>102</v>
      </c>
      <c r="J24" t="s">
        <v>113</v>
      </c>
      <c r="K24" t="s">
        <v>207</v>
      </c>
      <c r="L24" t="s">
        <v>22</v>
      </c>
      <c r="M24" t="s">
        <v>114</v>
      </c>
      <c r="N24" t="s">
        <v>138</v>
      </c>
      <c r="O24">
        <f t="shared" si="0"/>
        <v>2026</v>
      </c>
      <c r="P24">
        <f t="shared" si="1"/>
        <v>9</v>
      </c>
    </row>
    <row r="25" spans="1:16">
      <c r="A25" s="4">
        <v>46269.625694399998</v>
      </c>
      <c r="B25" t="s">
        <v>319</v>
      </c>
      <c r="C25" t="s">
        <v>192</v>
      </c>
      <c r="D25" t="s">
        <v>208</v>
      </c>
      <c r="E25">
        <v>37</v>
      </c>
      <c r="F25" t="s">
        <v>141</v>
      </c>
      <c r="G25" t="s">
        <v>201</v>
      </c>
      <c r="H25" t="s">
        <v>206</v>
      </c>
      <c r="I25" t="s">
        <v>102</v>
      </c>
      <c r="J25" t="s">
        <v>113</v>
      </c>
      <c r="K25" t="s">
        <v>207</v>
      </c>
      <c r="L25" t="s">
        <v>23</v>
      </c>
      <c r="N25" t="s">
        <v>207</v>
      </c>
      <c r="O25">
        <f t="shared" si="0"/>
        <v>2026</v>
      </c>
      <c r="P25">
        <f t="shared" si="1"/>
        <v>9</v>
      </c>
    </row>
    <row r="26" spans="1:16">
      <c r="A26" s="4">
        <v>46270.458333299997</v>
      </c>
      <c r="B26" t="s">
        <v>319</v>
      </c>
      <c r="C26" t="s">
        <v>192</v>
      </c>
      <c r="D26" t="s">
        <v>211</v>
      </c>
      <c r="E26">
        <v>37</v>
      </c>
      <c r="F26" t="s">
        <v>100</v>
      </c>
      <c r="G26" t="s">
        <v>190</v>
      </c>
      <c r="H26" t="s">
        <v>209</v>
      </c>
      <c r="I26" t="s">
        <v>102</v>
      </c>
      <c r="J26" t="s">
        <v>210</v>
      </c>
      <c r="L26" t="s">
        <v>19</v>
      </c>
      <c r="M26" t="s">
        <v>131</v>
      </c>
      <c r="N26" t="s">
        <v>111</v>
      </c>
      <c r="O26">
        <f t="shared" si="0"/>
        <v>2026</v>
      </c>
      <c r="P26">
        <f t="shared" si="1"/>
        <v>9</v>
      </c>
    </row>
    <row r="27" spans="1:16">
      <c r="A27" s="4">
        <v>46270.5</v>
      </c>
      <c r="B27" t="s">
        <v>319</v>
      </c>
      <c r="C27" t="s">
        <v>192</v>
      </c>
      <c r="D27" t="s">
        <v>214</v>
      </c>
      <c r="E27">
        <v>37</v>
      </c>
      <c r="F27" t="s">
        <v>127</v>
      </c>
      <c r="G27" t="s">
        <v>196</v>
      </c>
      <c r="H27" t="s">
        <v>212</v>
      </c>
      <c r="I27" t="s">
        <v>102</v>
      </c>
      <c r="J27" t="s">
        <v>213</v>
      </c>
      <c r="L27" t="s">
        <v>13</v>
      </c>
      <c r="M27">
        <v>2</v>
      </c>
      <c r="N27">
        <v>3</v>
      </c>
      <c r="O27">
        <f t="shared" si="0"/>
        <v>2026</v>
      </c>
      <c r="P27">
        <f t="shared" si="1"/>
        <v>9</v>
      </c>
    </row>
    <row r="28" spans="1:16">
      <c r="A28" s="4">
        <v>46273.375</v>
      </c>
      <c r="B28" t="s">
        <v>319</v>
      </c>
      <c r="C28" t="s">
        <v>260</v>
      </c>
      <c r="D28" t="s">
        <v>261</v>
      </c>
      <c r="E28">
        <v>38</v>
      </c>
      <c r="F28" t="s">
        <v>100</v>
      </c>
      <c r="G28" t="s">
        <v>258</v>
      </c>
      <c r="H28" t="s">
        <v>259</v>
      </c>
      <c r="I28" t="s">
        <v>102</v>
      </c>
      <c r="J28" t="s">
        <v>113</v>
      </c>
      <c r="L28" t="s">
        <v>3</v>
      </c>
      <c r="M28" t="s">
        <v>332</v>
      </c>
      <c r="N28" t="s">
        <v>333</v>
      </c>
      <c r="O28">
        <f t="shared" si="0"/>
        <v>2026</v>
      </c>
      <c r="P28">
        <f t="shared" si="1"/>
        <v>9</v>
      </c>
    </row>
    <row r="29" spans="1:16">
      <c r="A29" s="4">
        <v>46273.388888900001</v>
      </c>
      <c r="B29" t="s">
        <v>319</v>
      </c>
      <c r="C29" t="s">
        <v>260</v>
      </c>
      <c r="D29" t="s">
        <v>263</v>
      </c>
      <c r="E29">
        <v>38</v>
      </c>
      <c r="F29" t="s">
        <v>100</v>
      </c>
      <c r="G29" t="s">
        <v>258</v>
      </c>
      <c r="H29" t="s">
        <v>262</v>
      </c>
      <c r="I29" t="s">
        <v>102</v>
      </c>
      <c r="J29" t="s">
        <v>113</v>
      </c>
      <c r="L29" t="s">
        <v>89</v>
      </c>
      <c r="M29" t="s">
        <v>126</v>
      </c>
      <c r="N29" t="s">
        <v>121</v>
      </c>
      <c r="O29">
        <f t="shared" si="0"/>
        <v>2026</v>
      </c>
      <c r="P29">
        <f t="shared" si="1"/>
        <v>9</v>
      </c>
    </row>
    <row r="30" spans="1:16">
      <c r="A30" s="4">
        <v>46274.423611099999</v>
      </c>
      <c r="B30" t="s">
        <v>319</v>
      </c>
      <c r="C30" t="s">
        <v>260</v>
      </c>
      <c r="D30" t="s">
        <v>266</v>
      </c>
      <c r="E30">
        <v>38</v>
      </c>
      <c r="F30" t="s">
        <v>127</v>
      </c>
      <c r="G30" t="s">
        <v>264</v>
      </c>
      <c r="H30" t="s">
        <v>265</v>
      </c>
      <c r="I30" t="s">
        <v>102</v>
      </c>
      <c r="J30" t="s">
        <v>113</v>
      </c>
      <c r="L30" t="s">
        <v>12</v>
      </c>
      <c r="M30">
        <v>5</v>
      </c>
      <c r="N30">
        <v>6</v>
      </c>
      <c r="O30">
        <f t="shared" si="0"/>
        <v>2026</v>
      </c>
      <c r="P30">
        <f t="shared" si="1"/>
        <v>9</v>
      </c>
    </row>
    <row r="31" spans="1:16">
      <c r="A31" s="4">
        <v>46274.479166700003</v>
      </c>
      <c r="B31" t="s">
        <v>319</v>
      </c>
      <c r="C31" t="s">
        <v>260</v>
      </c>
      <c r="D31" t="s">
        <v>269</v>
      </c>
      <c r="E31">
        <v>38</v>
      </c>
      <c r="F31" t="s">
        <v>141</v>
      </c>
      <c r="G31" t="s">
        <v>267</v>
      </c>
      <c r="H31" t="s">
        <v>268</v>
      </c>
      <c r="I31" t="s">
        <v>102</v>
      </c>
      <c r="J31" t="s">
        <v>113</v>
      </c>
      <c r="L31" t="s">
        <v>3</v>
      </c>
      <c r="M31" t="s">
        <v>329</v>
      </c>
      <c r="N31" t="s">
        <v>334</v>
      </c>
      <c r="O31">
        <f t="shared" si="0"/>
        <v>2026</v>
      </c>
      <c r="P31">
        <f t="shared" si="1"/>
        <v>9</v>
      </c>
    </row>
    <row r="32" spans="1:16">
      <c r="A32" s="4">
        <v>46275.364583299997</v>
      </c>
      <c r="B32" t="s">
        <v>319</v>
      </c>
      <c r="C32" t="s">
        <v>260</v>
      </c>
      <c r="D32" t="s">
        <v>271</v>
      </c>
      <c r="E32">
        <v>38</v>
      </c>
      <c r="F32" t="s">
        <v>141</v>
      </c>
      <c r="G32" t="s">
        <v>267</v>
      </c>
      <c r="H32" t="s">
        <v>270</v>
      </c>
      <c r="I32" t="s">
        <v>102</v>
      </c>
      <c r="J32" t="s">
        <v>113</v>
      </c>
      <c r="L32" t="s">
        <v>15</v>
      </c>
      <c r="M32">
        <v>30000</v>
      </c>
      <c r="N32">
        <v>34000</v>
      </c>
      <c r="O32">
        <f t="shared" si="0"/>
        <v>2026</v>
      </c>
      <c r="P32">
        <f t="shared" si="1"/>
        <v>9</v>
      </c>
    </row>
    <row r="33" spans="1:16">
      <c r="A33" s="4">
        <v>46275.583333299997</v>
      </c>
      <c r="B33" t="s">
        <v>319</v>
      </c>
      <c r="C33" t="s">
        <v>260</v>
      </c>
      <c r="D33" t="s">
        <v>274</v>
      </c>
      <c r="E33">
        <v>38</v>
      </c>
      <c r="F33" t="s">
        <v>100</v>
      </c>
      <c r="G33" t="s">
        <v>258</v>
      </c>
      <c r="H33" t="s">
        <v>272</v>
      </c>
      <c r="I33" t="s">
        <v>102</v>
      </c>
      <c r="J33" t="s">
        <v>113</v>
      </c>
      <c r="K33" t="s">
        <v>273</v>
      </c>
      <c r="L33" t="s">
        <v>22</v>
      </c>
      <c r="M33" t="s">
        <v>114</v>
      </c>
      <c r="N33" t="s">
        <v>138</v>
      </c>
      <c r="O33">
        <f t="shared" si="0"/>
        <v>2026</v>
      </c>
      <c r="P33">
        <f t="shared" si="1"/>
        <v>9</v>
      </c>
    </row>
    <row r="34" spans="1:16">
      <c r="A34" s="4">
        <v>46275.584027800003</v>
      </c>
      <c r="B34" t="s">
        <v>319</v>
      </c>
      <c r="C34" t="s">
        <v>260</v>
      </c>
      <c r="D34" t="s">
        <v>274</v>
      </c>
      <c r="E34">
        <v>38</v>
      </c>
      <c r="F34" t="s">
        <v>100</v>
      </c>
      <c r="G34" t="s">
        <v>258</v>
      </c>
      <c r="H34" t="s">
        <v>272</v>
      </c>
      <c r="I34" t="s">
        <v>102</v>
      </c>
      <c r="J34" t="s">
        <v>113</v>
      </c>
      <c r="K34" t="s">
        <v>273</v>
      </c>
      <c r="L34" t="s">
        <v>23</v>
      </c>
      <c r="N34" t="s">
        <v>273</v>
      </c>
      <c r="O34">
        <f t="shared" si="0"/>
        <v>2026</v>
      </c>
      <c r="P34">
        <f t="shared" si="1"/>
        <v>9</v>
      </c>
    </row>
    <row r="35" spans="1:16">
      <c r="A35" s="4">
        <v>46276.375</v>
      </c>
      <c r="B35" t="s">
        <v>319</v>
      </c>
      <c r="C35" t="s">
        <v>260</v>
      </c>
      <c r="D35" t="s">
        <v>261</v>
      </c>
      <c r="E35">
        <v>38</v>
      </c>
      <c r="F35" t="s">
        <v>100</v>
      </c>
      <c r="G35" t="s">
        <v>258</v>
      </c>
      <c r="H35" t="s">
        <v>259</v>
      </c>
      <c r="I35" t="s">
        <v>102</v>
      </c>
      <c r="J35" t="s">
        <v>113</v>
      </c>
      <c r="L35" t="s">
        <v>4</v>
      </c>
      <c r="M35" t="s">
        <v>328</v>
      </c>
      <c r="N35" t="s">
        <v>329</v>
      </c>
      <c r="O35">
        <f t="shared" si="0"/>
        <v>2026</v>
      </c>
      <c r="P35">
        <f t="shared" si="1"/>
        <v>9</v>
      </c>
    </row>
    <row r="36" spans="1:16">
      <c r="A36" s="4">
        <v>46276.395833299997</v>
      </c>
      <c r="B36" t="s">
        <v>319</v>
      </c>
      <c r="C36" t="s">
        <v>260</v>
      </c>
      <c r="D36" t="s">
        <v>266</v>
      </c>
      <c r="E36">
        <v>38</v>
      </c>
      <c r="F36" t="s">
        <v>127</v>
      </c>
      <c r="G36" t="s">
        <v>264</v>
      </c>
      <c r="H36" t="s">
        <v>265</v>
      </c>
      <c r="I36" t="s">
        <v>102</v>
      </c>
      <c r="J36" t="s">
        <v>113</v>
      </c>
      <c r="L36" t="s">
        <v>5</v>
      </c>
      <c r="M36" t="s">
        <v>332</v>
      </c>
      <c r="N36" t="s">
        <v>333</v>
      </c>
      <c r="O36">
        <f t="shared" si="0"/>
        <v>2026</v>
      </c>
      <c r="P36">
        <f t="shared" si="1"/>
        <v>9</v>
      </c>
    </row>
  </sheetData>
  <phoneticPr fontId="3"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BE050A-805B-4502-843C-4B2232818640}">
  <sheetPr codeName="Sheet5"/>
  <dimension ref="A1:AS23"/>
  <sheetViews>
    <sheetView zoomScale="55" workbookViewId="0">
      <pane ySplit="1" topLeftCell="A2" activePane="bottomLeft" state="frozen"/>
      <selection pane="bottomLeft" activeCell="A2" sqref="A2"/>
    </sheetView>
  </sheetViews>
  <sheetFormatPr baseColWidth="10" defaultColWidth="8.6640625" defaultRowHeight="15"/>
  <cols>
    <col min="1" max="1" width="10.5" customWidth="1"/>
    <col min="2" max="2" width="17.1640625" customWidth="1"/>
    <col min="3" max="3" width="14.33203125" customWidth="1"/>
    <col min="4" max="7" width="14.83203125" customWidth="1"/>
    <col min="8" max="8" width="23.83203125" customWidth="1"/>
    <col min="9" max="9" width="20" customWidth="1"/>
    <col min="10" max="10" width="10.5" customWidth="1"/>
    <col min="11" max="11" width="12.5" customWidth="1"/>
    <col min="12" max="12" width="18.1640625" customWidth="1"/>
    <col min="13" max="13" width="13.6640625" customWidth="1"/>
    <col min="14" max="14" width="10.5" customWidth="1"/>
    <col min="15" max="15" width="12.5" customWidth="1"/>
    <col min="16" max="16" width="13.6640625" customWidth="1"/>
    <col min="17" max="17" width="10.5" customWidth="1"/>
    <col min="18" max="18" width="12.5" customWidth="1"/>
    <col min="19" max="19" width="14.33203125" customWidth="1"/>
    <col min="20" max="20" width="16.1640625" customWidth="1"/>
    <col min="21" max="21" width="21.83203125" customWidth="1"/>
    <col min="22" max="22" width="23.83203125" customWidth="1"/>
    <col min="23" max="23" width="16.1640625" customWidth="1"/>
    <col min="24" max="24" width="21.83203125" customWidth="1"/>
    <col min="25" max="27" width="13.6640625" customWidth="1"/>
    <col min="28" max="28" width="12.6640625" hidden="1" customWidth="1"/>
    <col min="29" max="29" width="18.33203125" hidden="1" customWidth="1"/>
    <col min="30" max="30" width="13" customWidth="1"/>
    <col min="31" max="33" width="18" customWidth="1"/>
    <col min="34" max="45" width="14" customWidth="1"/>
  </cols>
  <sheetData>
    <row r="1" spans="1:45" ht="32" customHeight="1">
      <c r="A1" s="38" t="s">
        <v>0</v>
      </c>
      <c r="B1" s="38" t="s">
        <v>1</v>
      </c>
      <c r="C1" s="38" t="s">
        <v>2</v>
      </c>
      <c r="D1" s="38" t="s">
        <v>3</v>
      </c>
      <c r="E1" s="38" t="s">
        <v>4</v>
      </c>
      <c r="F1" s="38" t="s">
        <v>5</v>
      </c>
      <c r="G1" s="38" t="s">
        <v>6</v>
      </c>
      <c r="H1" s="38" t="s">
        <v>7</v>
      </c>
      <c r="I1" s="38" t="s">
        <v>8</v>
      </c>
      <c r="J1" s="38" t="s">
        <v>9</v>
      </c>
      <c r="K1" s="38" t="s">
        <v>10</v>
      </c>
      <c r="L1" s="38" t="s">
        <v>11</v>
      </c>
      <c r="M1" s="38" t="s">
        <v>12</v>
      </c>
      <c r="N1" s="38" t="s">
        <v>13</v>
      </c>
      <c r="O1" s="38" t="s">
        <v>14</v>
      </c>
      <c r="P1" s="38" t="s">
        <v>15</v>
      </c>
      <c r="Q1" s="38" t="s">
        <v>16</v>
      </c>
      <c r="R1" s="38" t="s">
        <v>17</v>
      </c>
      <c r="S1" s="38" t="s">
        <v>18</v>
      </c>
      <c r="T1" s="38" t="s">
        <v>19</v>
      </c>
      <c r="U1" s="38" t="s">
        <v>20</v>
      </c>
      <c r="V1" s="38" t="s">
        <v>21</v>
      </c>
      <c r="W1" s="38" t="s">
        <v>22</v>
      </c>
      <c r="X1" s="38" t="s">
        <v>23</v>
      </c>
      <c r="Y1" s="38" t="s">
        <v>24</v>
      </c>
      <c r="Z1" s="38" t="s">
        <v>25</v>
      </c>
      <c r="AA1" s="38" t="s">
        <v>26</v>
      </c>
      <c r="AB1" s="38" t="s">
        <v>27</v>
      </c>
      <c r="AC1" s="38" t="s">
        <v>28</v>
      </c>
      <c r="AD1" s="38" t="s">
        <v>89</v>
      </c>
      <c r="AE1" s="38" t="s">
        <v>90</v>
      </c>
      <c r="AF1" s="38" t="s">
        <v>91</v>
      </c>
      <c r="AG1" s="38" t="s">
        <v>92</v>
      </c>
      <c r="AH1" s="38" t="s">
        <v>93</v>
      </c>
      <c r="AI1" s="38" t="s">
        <v>94</v>
      </c>
      <c r="AJ1" s="38" t="s">
        <v>95</v>
      </c>
      <c r="AK1" s="38" t="s">
        <v>96</v>
      </c>
      <c r="AL1" s="38" t="s">
        <v>97</v>
      </c>
      <c r="AM1" s="38" t="s">
        <v>98</v>
      </c>
      <c r="AN1" s="38" t="s">
        <v>70</v>
      </c>
      <c r="AO1" s="38" t="s">
        <v>71</v>
      </c>
      <c r="AP1" s="38" t="s">
        <v>48</v>
      </c>
      <c r="AQ1" s="38" t="s">
        <v>79</v>
      </c>
      <c r="AR1" s="38" t="s">
        <v>80</v>
      </c>
      <c r="AS1" s="38" t="s">
        <v>78</v>
      </c>
    </row>
    <row r="2" spans="1:45" ht="30">
      <c r="A2" s="44">
        <v>36</v>
      </c>
      <c r="B2" s="45" t="s">
        <v>100</v>
      </c>
      <c r="C2" s="46" t="s">
        <v>101</v>
      </c>
      <c r="D2" s="47">
        <v>46267</v>
      </c>
      <c r="E2" s="47">
        <v>46269</v>
      </c>
      <c r="F2" s="47">
        <v>46266</v>
      </c>
      <c r="G2" s="47">
        <v>46275</v>
      </c>
      <c r="H2" s="48" t="s">
        <v>102</v>
      </c>
      <c r="I2" s="46" t="s">
        <v>103</v>
      </c>
      <c r="J2" s="46" t="s">
        <v>104</v>
      </c>
      <c r="K2" s="46" t="s">
        <v>105</v>
      </c>
      <c r="L2" s="46" t="s">
        <v>106</v>
      </c>
      <c r="M2" s="49">
        <v>3</v>
      </c>
      <c r="N2" s="44">
        <v>2</v>
      </c>
      <c r="O2" s="46" t="s">
        <v>107</v>
      </c>
      <c r="P2" s="50">
        <v>54000</v>
      </c>
      <c r="Q2" s="46" t="s">
        <v>108</v>
      </c>
      <c r="R2" s="46" t="s">
        <v>109</v>
      </c>
      <c r="S2" s="46" t="s">
        <v>110</v>
      </c>
      <c r="T2" s="45" t="s">
        <v>111</v>
      </c>
      <c r="U2" s="48" t="s">
        <v>112</v>
      </c>
      <c r="V2" s="48" t="s">
        <v>113</v>
      </c>
      <c r="W2" s="46" t="s">
        <v>114</v>
      </c>
      <c r="X2" s="48"/>
      <c r="Y2" s="50">
        <v>3</v>
      </c>
      <c r="Z2" s="50">
        <v>3</v>
      </c>
      <c r="AA2" s="50">
        <v>54000</v>
      </c>
      <c r="AB2" s="45" t="s">
        <v>115</v>
      </c>
      <c r="AC2" s="45" t="s">
        <v>116</v>
      </c>
      <c r="AD2" s="46"/>
      <c r="AE2" s="50">
        <v>3</v>
      </c>
      <c r="AF2" s="50">
        <v>0</v>
      </c>
      <c r="AG2" s="50">
        <v>3</v>
      </c>
      <c r="AH2" s="50">
        <v>3</v>
      </c>
      <c r="AI2" s="50">
        <v>0</v>
      </c>
      <c r="AJ2" s="50">
        <v>3</v>
      </c>
      <c r="AK2" s="50">
        <v>0</v>
      </c>
      <c r="AL2" s="50">
        <v>0</v>
      </c>
      <c r="AM2" s="50">
        <v>0</v>
      </c>
      <c r="AN2" s="50">
        <v>3</v>
      </c>
      <c r="AO2" s="50">
        <v>0</v>
      </c>
      <c r="AP2" s="50">
        <v>3</v>
      </c>
      <c r="AQ2" s="50">
        <v>54000</v>
      </c>
      <c r="AR2" s="50">
        <v>0</v>
      </c>
      <c r="AS2" s="50">
        <v>54000</v>
      </c>
    </row>
    <row r="3" spans="1:45" ht="30">
      <c r="A3" s="44">
        <v>36</v>
      </c>
      <c r="B3" s="45" t="s">
        <v>100</v>
      </c>
      <c r="C3" s="46" t="s">
        <v>101</v>
      </c>
      <c r="D3" s="47">
        <v>46267</v>
      </c>
      <c r="E3" s="47">
        <v>46269</v>
      </c>
      <c r="F3" s="47">
        <v>46266</v>
      </c>
      <c r="G3" s="47">
        <v>46275</v>
      </c>
      <c r="H3" s="48" t="s">
        <v>102</v>
      </c>
      <c r="I3" s="46" t="s">
        <v>117</v>
      </c>
      <c r="J3" s="46" t="s">
        <v>104</v>
      </c>
      <c r="K3" s="46" t="s">
        <v>105</v>
      </c>
      <c r="L3" s="46" t="s">
        <v>106</v>
      </c>
      <c r="M3" s="49">
        <v>2</v>
      </c>
      <c r="N3" s="44">
        <v>4</v>
      </c>
      <c r="O3" s="46" t="s">
        <v>118</v>
      </c>
      <c r="P3" s="50">
        <v>42000</v>
      </c>
      <c r="Q3" s="46" t="s">
        <v>108</v>
      </c>
      <c r="R3" s="46" t="s">
        <v>109</v>
      </c>
      <c r="S3" s="46" t="s">
        <v>110</v>
      </c>
      <c r="T3" s="45" t="s">
        <v>111</v>
      </c>
      <c r="U3" s="48" t="s">
        <v>119</v>
      </c>
      <c r="V3" s="48" t="s">
        <v>113</v>
      </c>
      <c r="W3" s="46" t="s">
        <v>114</v>
      </c>
      <c r="X3" s="48"/>
      <c r="Y3" s="50">
        <v>2</v>
      </c>
      <c r="Z3" s="50">
        <v>4</v>
      </c>
      <c r="AA3" s="50">
        <v>42000</v>
      </c>
      <c r="AB3" s="45" t="s">
        <v>115</v>
      </c>
      <c r="AC3" s="45" t="s">
        <v>120</v>
      </c>
      <c r="AD3" s="46" t="s">
        <v>121</v>
      </c>
      <c r="AE3" s="50">
        <v>0</v>
      </c>
      <c r="AF3" s="50">
        <v>2</v>
      </c>
      <c r="AG3" s="50">
        <v>2</v>
      </c>
      <c r="AH3" s="50">
        <v>0</v>
      </c>
      <c r="AI3" s="50">
        <v>0</v>
      </c>
      <c r="AJ3" s="50">
        <v>0</v>
      </c>
      <c r="AK3" s="50">
        <v>0</v>
      </c>
      <c r="AL3" s="50">
        <v>2</v>
      </c>
      <c r="AM3" s="50">
        <v>2</v>
      </c>
      <c r="AN3" s="50">
        <v>0</v>
      </c>
      <c r="AO3" s="50">
        <v>4</v>
      </c>
      <c r="AP3" s="50">
        <v>4</v>
      </c>
      <c r="AQ3" s="50">
        <v>0</v>
      </c>
      <c r="AR3" s="50">
        <v>42000</v>
      </c>
      <c r="AS3" s="50">
        <v>42000</v>
      </c>
    </row>
    <row r="4" spans="1:45" ht="30">
      <c r="A4" s="44">
        <v>36</v>
      </c>
      <c r="B4" s="45" t="s">
        <v>100</v>
      </c>
      <c r="C4" s="46" t="s">
        <v>101</v>
      </c>
      <c r="D4" s="47">
        <v>46267</v>
      </c>
      <c r="E4" s="47">
        <v>46269</v>
      </c>
      <c r="F4" s="47">
        <v>46266</v>
      </c>
      <c r="G4" s="47">
        <v>46275</v>
      </c>
      <c r="H4" s="48" t="s">
        <v>102</v>
      </c>
      <c r="I4" s="46" t="s">
        <v>122</v>
      </c>
      <c r="J4" s="46" t="s">
        <v>104</v>
      </c>
      <c r="K4" s="46" t="s">
        <v>105</v>
      </c>
      <c r="L4" s="46" t="s">
        <v>106</v>
      </c>
      <c r="M4" s="49">
        <v>1</v>
      </c>
      <c r="N4" s="44">
        <v>4</v>
      </c>
      <c r="O4" s="46" t="s">
        <v>123</v>
      </c>
      <c r="P4" s="50">
        <v>18000</v>
      </c>
      <c r="Q4" s="46" t="s">
        <v>108</v>
      </c>
      <c r="R4" s="46" t="s">
        <v>109</v>
      </c>
      <c r="S4" s="46" t="s">
        <v>110</v>
      </c>
      <c r="T4" s="45" t="s">
        <v>111</v>
      </c>
      <c r="U4" s="48" t="s">
        <v>124</v>
      </c>
      <c r="V4" s="48" t="s">
        <v>113</v>
      </c>
      <c r="W4" s="46" t="s">
        <v>114</v>
      </c>
      <c r="X4" s="48"/>
      <c r="Y4" s="50">
        <v>1</v>
      </c>
      <c r="Z4" s="50">
        <v>2</v>
      </c>
      <c r="AA4" s="50">
        <v>18000</v>
      </c>
      <c r="AB4" s="45" t="s">
        <v>115</v>
      </c>
      <c r="AC4" s="45" t="s">
        <v>125</v>
      </c>
      <c r="AD4" s="46" t="s">
        <v>126</v>
      </c>
      <c r="AE4" s="50">
        <v>1</v>
      </c>
      <c r="AF4" s="50">
        <v>0</v>
      </c>
      <c r="AG4" s="50">
        <v>1</v>
      </c>
      <c r="AH4" s="50">
        <v>0</v>
      </c>
      <c r="AI4" s="50">
        <v>0</v>
      </c>
      <c r="AJ4" s="50">
        <v>0</v>
      </c>
      <c r="AK4" s="50">
        <v>1</v>
      </c>
      <c r="AL4" s="50">
        <v>0</v>
      </c>
      <c r="AM4" s="50">
        <v>1</v>
      </c>
      <c r="AN4" s="50">
        <v>2</v>
      </c>
      <c r="AO4" s="50">
        <v>0</v>
      </c>
      <c r="AP4" s="50">
        <v>2</v>
      </c>
      <c r="AQ4" s="50">
        <v>18000</v>
      </c>
      <c r="AR4" s="50">
        <v>0</v>
      </c>
      <c r="AS4" s="50">
        <v>18000</v>
      </c>
    </row>
    <row r="5" spans="1:45" ht="30">
      <c r="A5" s="44">
        <v>36</v>
      </c>
      <c r="B5" s="45" t="s">
        <v>127</v>
      </c>
      <c r="C5" s="46" t="s">
        <v>128</v>
      </c>
      <c r="D5" s="47">
        <v>46268</v>
      </c>
      <c r="E5" s="47">
        <v>46270</v>
      </c>
      <c r="F5" s="47">
        <v>46267</v>
      </c>
      <c r="G5" s="47">
        <v>46277</v>
      </c>
      <c r="H5" s="48" t="s">
        <v>102</v>
      </c>
      <c r="I5" s="46" t="s">
        <v>129</v>
      </c>
      <c r="J5" s="46" t="s">
        <v>104</v>
      </c>
      <c r="K5" s="46" t="s">
        <v>130</v>
      </c>
      <c r="L5" s="46" t="s">
        <v>106</v>
      </c>
      <c r="M5" s="49">
        <v>4</v>
      </c>
      <c r="N5" s="44">
        <v>2</v>
      </c>
      <c r="O5" s="46" t="s">
        <v>107</v>
      </c>
      <c r="P5" s="50">
        <v>70000</v>
      </c>
      <c r="Q5" s="46" t="s">
        <v>131</v>
      </c>
      <c r="R5" s="46" t="s">
        <v>109</v>
      </c>
      <c r="S5" s="46" t="s">
        <v>132</v>
      </c>
      <c r="T5" s="45" t="s">
        <v>133</v>
      </c>
      <c r="U5" s="48" t="s">
        <v>134</v>
      </c>
      <c r="V5" s="48" t="s">
        <v>113</v>
      </c>
      <c r="W5" s="46" t="s">
        <v>114</v>
      </c>
      <c r="X5" s="48"/>
      <c r="Y5" s="50">
        <v>4</v>
      </c>
      <c r="Z5" s="50">
        <v>4</v>
      </c>
      <c r="AA5" s="50">
        <v>70000</v>
      </c>
      <c r="AB5" s="45" t="s">
        <v>115</v>
      </c>
      <c r="AC5" s="45" t="s">
        <v>135</v>
      </c>
      <c r="AD5" s="46" t="s">
        <v>126</v>
      </c>
      <c r="AE5" s="50">
        <v>4</v>
      </c>
      <c r="AF5" s="50">
        <v>0</v>
      </c>
      <c r="AG5" s="50">
        <v>4</v>
      </c>
      <c r="AH5" s="50">
        <v>4</v>
      </c>
      <c r="AI5" s="50">
        <v>0</v>
      </c>
      <c r="AJ5" s="50">
        <v>4</v>
      </c>
      <c r="AK5" s="50">
        <v>0</v>
      </c>
      <c r="AL5" s="50">
        <v>0</v>
      </c>
      <c r="AM5" s="50">
        <v>0</v>
      </c>
      <c r="AN5" s="50">
        <v>4</v>
      </c>
      <c r="AO5" s="50">
        <v>0</v>
      </c>
      <c r="AP5" s="50">
        <v>4</v>
      </c>
      <c r="AQ5" s="50">
        <v>70000</v>
      </c>
      <c r="AR5" s="50">
        <v>0</v>
      </c>
      <c r="AS5" s="50">
        <v>70000</v>
      </c>
    </row>
    <row r="6" spans="1:45" ht="30">
      <c r="A6" s="44">
        <v>36</v>
      </c>
      <c r="B6" s="45" t="s">
        <v>127</v>
      </c>
      <c r="C6" s="46" t="s">
        <v>128</v>
      </c>
      <c r="D6" s="47">
        <v>46268</v>
      </c>
      <c r="E6" s="47">
        <v>46270</v>
      </c>
      <c r="F6" s="47">
        <v>46267</v>
      </c>
      <c r="G6" s="47">
        <v>46277</v>
      </c>
      <c r="H6" s="48" t="s">
        <v>102</v>
      </c>
      <c r="I6" s="46" t="s">
        <v>137</v>
      </c>
      <c r="J6" s="46" t="s">
        <v>104</v>
      </c>
      <c r="K6" s="46" t="s">
        <v>130</v>
      </c>
      <c r="L6" s="46" t="s">
        <v>106</v>
      </c>
      <c r="M6" s="49">
        <v>2</v>
      </c>
      <c r="N6" s="44">
        <v>4</v>
      </c>
      <c r="O6" s="46" t="s">
        <v>118</v>
      </c>
      <c r="P6" s="50">
        <v>40000</v>
      </c>
      <c r="Q6" s="46" t="s">
        <v>131</v>
      </c>
      <c r="R6" s="46" t="s">
        <v>109</v>
      </c>
      <c r="S6" s="46" t="s">
        <v>132</v>
      </c>
      <c r="T6" s="45" t="s">
        <v>133</v>
      </c>
      <c r="U6" s="48" t="s">
        <v>112</v>
      </c>
      <c r="V6" s="48" t="s">
        <v>113</v>
      </c>
      <c r="W6" s="46" t="s">
        <v>138</v>
      </c>
      <c r="X6" s="48" t="s">
        <v>139</v>
      </c>
      <c r="Y6" s="50">
        <v>0</v>
      </c>
      <c r="Z6" s="50">
        <v>0</v>
      </c>
      <c r="AA6" s="50">
        <v>0</v>
      </c>
      <c r="AB6" s="45" t="s">
        <v>115</v>
      </c>
      <c r="AC6" s="45" t="s">
        <v>140</v>
      </c>
      <c r="AD6" s="46" t="s">
        <v>126</v>
      </c>
      <c r="AE6" s="50">
        <v>0</v>
      </c>
      <c r="AF6" s="50">
        <v>0</v>
      </c>
      <c r="AG6" s="50">
        <v>0</v>
      </c>
      <c r="AH6" s="50">
        <v>0</v>
      </c>
      <c r="AI6" s="50">
        <v>0</v>
      </c>
      <c r="AJ6" s="50">
        <v>0</v>
      </c>
      <c r="AK6" s="50">
        <v>0</v>
      </c>
      <c r="AL6" s="50">
        <v>0</v>
      </c>
      <c r="AM6" s="50">
        <v>0</v>
      </c>
      <c r="AN6" s="50">
        <v>0</v>
      </c>
      <c r="AO6" s="50">
        <v>0</v>
      </c>
      <c r="AP6" s="50">
        <v>0</v>
      </c>
      <c r="AQ6" s="50">
        <v>0</v>
      </c>
      <c r="AR6" s="50">
        <v>0</v>
      </c>
      <c r="AS6" s="50">
        <v>0</v>
      </c>
    </row>
    <row r="7" spans="1:45" ht="30">
      <c r="A7" s="44">
        <v>36</v>
      </c>
      <c r="B7" s="45" t="s">
        <v>141</v>
      </c>
      <c r="C7" s="46" t="s">
        <v>142</v>
      </c>
      <c r="D7" s="47">
        <v>46270</v>
      </c>
      <c r="E7" s="47">
        <v>46271</v>
      </c>
      <c r="F7" s="47">
        <v>46269</v>
      </c>
      <c r="G7" s="47"/>
      <c r="H7" s="48" t="s">
        <v>102</v>
      </c>
      <c r="I7" s="46" t="s">
        <v>143</v>
      </c>
      <c r="J7" s="46" t="s">
        <v>104</v>
      </c>
      <c r="K7" s="46" t="s">
        <v>144</v>
      </c>
      <c r="L7" s="46" t="s">
        <v>106</v>
      </c>
      <c r="M7" s="49">
        <v>3</v>
      </c>
      <c r="N7" s="44">
        <v>2</v>
      </c>
      <c r="O7" s="46" t="s">
        <v>107</v>
      </c>
      <c r="P7" s="50">
        <v>12000</v>
      </c>
      <c r="Q7" s="46" t="s">
        <v>111</v>
      </c>
      <c r="R7" s="46" t="s">
        <v>109</v>
      </c>
      <c r="S7" s="46" t="s">
        <v>145</v>
      </c>
      <c r="T7" s="45" t="s">
        <v>108</v>
      </c>
      <c r="U7" s="48" t="s">
        <v>119</v>
      </c>
      <c r="V7" s="48" t="s">
        <v>113</v>
      </c>
      <c r="W7" s="46" t="s">
        <v>114</v>
      </c>
      <c r="X7" s="48"/>
      <c r="Y7" s="50">
        <v>3</v>
      </c>
      <c r="Z7" s="50">
        <v>3</v>
      </c>
      <c r="AA7" s="50">
        <v>12000</v>
      </c>
      <c r="AB7" s="45" t="s">
        <v>115</v>
      </c>
      <c r="AC7" s="45" t="s">
        <v>146</v>
      </c>
      <c r="AD7" s="46" t="s">
        <v>121</v>
      </c>
      <c r="AE7" s="50">
        <v>0</v>
      </c>
      <c r="AF7" s="50">
        <v>3</v>
      </c>
      <c r="AG7" s="50">
        <v>3</v>
      </c>
      <c r="AH7" s="50">
        <v>0</v>
      </c>
      <c r="AI7" s="50">
        <v>3</v>
      </c>
      <c r="AJ7" s="50">
        <v>3</v>
      </c>
      <c r="AK7" s="50">
        <v>0</v>
      </c>
      <c r="AL7" s="50">
        <v>0</v>
      </c>
      <c r="AM7" s="50">
        <v>0</v>
      </c>
      <c r="AN7" s="50">
        <v>0</v>
      </c>
      <c r="AO7" s="50">
        <v>3</v>
      </c>
      <c r="AP7" s="50">
        <v>3</v>
      </c>
      <c r="AQ7" s="50">
        <v>0</v>
      </c>
      <c r="AR7" s="50">
        <v>12000</v>
      </c>
      <c r="AS7" s="50">
        <v>12000</v>
      </c>
    </row>
    <row r="8" spans="1:45" ht="30">
      <c r="A8" s="44">
        <v>37</v>
      </c>
      <c r="B8" s="45" t="s">
        <v>100</v>
      </c>
      <c r="C8" s="46" t="s">
        <v>190</v>
      </c>
      <c r="D8" s="47">
        <v>46274</v>
      </c>
      <c r="E8" s="47">
        <v>46276</v>
      </c>
      <c r="F8" s="47">
        <v>46273</v>
      </c>
      <c r="G8" s="47">
        <v>46282</v>
      </c>
      <c r="H8" s="48" t="s">
        <v>102</v>
      </c>
      <c r="I8" s="46" t="s">
        <v>191</v>
      </c>
      <c r="J8" s="46" t="s">
        <v>104</v>
      </c>
      <c r="K8" s="46" t="s">
        <v>105</v>
      </c>
      <c r="L8" s="46" t="s">
        <v>106</v>
      </c>
      <c r="M8" s="49">
        <v>4</v>
      </c>
      <c r="N8" s="44">
        <v>4</v>
      </c>
      <c r="O8" s="46" t="s">
        <v>118</v>
      </c>
      <c r="P8" s="50">
        <v>80000</v>
      </c>
      <c r="Q8" s="46" t="s">
        <v>108</v>
      </c>
      <c r="R8" s="46" t="s">
        <v>109</v>
      </c>
      <c r="S8" s="46" t="s">
        <v>110</v>
      </c>
      <c r="T8" s="45" t="s">
        <v>111</v>
      </c>
      <c r="U8" s="48" t="s">
        <v>124</v>
      </c>
      <c r="V8" s="48" t="s">
        <v>113</v>
      </c>
      <c r="W8" s="46" t="s">
        <v>114</v>
      </c>
      <c r="X8" s="48"/>
      <c r="Y8" s="50">
        <v>4</v>
      </c>
      <c r="Z8" s="50">
        <v>8</v>
      </c>
      <c r="AA8" s="50">
        <v>80000</v>
      </c>
      <c r="AB8" s="45" t="s">
        <v>192</v>
      </c>
      <c r="AC8" s="45" t="s">
        <v>193</v>
      </c>
      <c r="AD8" s="46" t="s">
        <v>126</v>
      </c>
      <c r="AE8" s="50">
        <v>4</v>
      </c>
      <c r="AF8" s="50">
        <v>0</v>
      </c>
      <c r="AG8" s="50">
        <v>4</v>
      </c>
      <c r="AH8" s="50">
        <v>0</v>
      </c>
      <c r="AI8" s="50">
        <v>0</v>
      </c>
      <c r="AJ8" s="50">
        <v>0</v>
      </c>
      <c r="AK8" s="50">
        <v>4</v>
      </c>
      <c r="AL8" s="50">
        <v>0</v>
      </c>
      <c r="AM8" s="50">
        <v>4</v>
      </c>
      <c r="AN8" s="50">
        <v>8</v>
      </c>
      <c r="AO8" s="50">
        <v>0</v>
      </c>
      <c r="AP8" s="50">
        <v>8</v>
      </c>
      <c r="AQ8" s="50">
        <v>80000</v>
      </c>
      <c r="AR8" s="50">
        <v>0</v>
      </c>
      <c r="AS8" s="50">
        <v>80000</v>
      </c>
    </row>
    <row r="9" spans="1:45" ht="30">
      <c r="A9" s="44">
        <v>37</v>
      </c>
      <c r="B9" s="45" t="s">
        <v>100</v>
      </c>
      <c r="C9" s="46" t="s">
        <v>190</v>
      </c>
      <c r="D9" s="47">
        <v>46274</v>
      </c>
      <c r="E9" s="47">
        <v>46276</v>
      </c>
      <c r="F9" s="47">
        <v>46273</v>
      </c>
      <c r="G9" s="47">
        <v>46282</v>
      </c>
      <c r="H9" s="48" t="s">
        <v>102</v>
      </c>
      <c r="I9" s="46" t="s">
        <v>194</v>
      </c>
      <c r="J9" s="46" t="s">
        <v>104</v>
      </c>
      <c r="K9" s="46" t="s">
        <v>105</v>
      </c>
      <c r="L9" s="46" t="s">
        <v>106</v>
      </c>
      <c r="M9" s="49">
        <v>2</v>
      </c>
      <c r="N9" s="44">
        <v>2</v>
      </c>
      <c r="O9" s="46" t="s">
        <v>107</v>
      </c>
      <c r="P9" s="50">
        <v>8000</v>
      </c>
      <c r="Q9" s="46" t="s">
        <v>108</v>
      </c>
      <c r="R9" s="46" t="s">
        <v>109</v>
      </c>
      <c r="S9" s="46" t="s">
        <v>110</v>
      </c>
      <c r="T9" s="45" t="s">
        <v>111</v>
      </c>
      <c r="U9" s="48" t="s">
        <v>119</v>
      </c>
      <c r="V9" s="48" t="s">
        <v>113</v>
      </c>
      <c r="W9" s="46" t="s">
        <v>114</v>
      </c>
      <c r="X9" s="48"/>
      <c r="Y9" s="50">
        <v>2</v>
      </c>
      <c r="Z9" s="50">
        <v>2</v>
      </c>
      <c r="AA9" s="50">
        <v>8000</v>
      </c>
      <c r="AB9" s="45" t="s">
        <v>192</v>
      </c>
      <c r="AC9" s="45" t="s">
        <v>195</v>
      </c>
      <c r="AD9" s="46" t="s">
        <v>121</v>
      </c>
      <c r="AE9" s="50">
        <v>0</v>
      </c>
      <c r="AF9" s="50">
        <v>2</v>
      </c>
      <c r="AG9" s="50">
        <v>2</v>
      </c>
      <c r="AH9" s="50">
        <v>0</v>
      </c>
      <c r="AI9" s="50">
        <v>2</v>
      </c>
      <c r="AJ9" s="50">
        <v>2</v>
      </c>
      <c r="AK9" s="50">
        <v>0</v>
      </c>
      <c r="AL9" s="50">
        <v>0</v>
      </c>
      <c r="AM9" s="50">
        <v>0</v>
      </c>
      <c r="AN9" s="50">
        <v>0</v>
      </c>
      <c r="AO9" s="50">
        <v>2</v>
      </c>
      <c r="AP9" s="50">
        <v>2</v>
      </c>
      <c r="AQ9" s="50">
        <v>0</v>
      </c>
      <c r="AR9" s="50">
        <v>8000</v>
      </c>
      <c r="AS9" s="50">
        <v>8000</v>
      </c>
    </row>
    <row r="10" spans="1:45" ht="30">
      <c r="A10" s="44">
        <v>37</v>
      </c>
      <c r="B10" s="45" t="s">
        <v>127</v>
      </c>
      <c r="C10" s="46" t="s">
        <v>196</v>
      </c>
      <c r="D10" s="47">
        <v>46275</v>
      </c>
      <c r="E10" s="47">
        <v>46277</v>
      </c>
      <c r="F10" s="47">
        <v>46274</v>
      </c>
      <c r="G10" s="47">
        <v>46283</v>
      </c>
      <c r="H10" s="48" t="s">
        <v>102</v>
      </c>
      <c r="I10" s="46" t="s">
        <v>197</v>
      </c>
      <c r="J10" s="46" t="s">
        <v>104</v>
      </c>
      <c r="K10" s="46" t="s">
        <v>130</v>
      </c>
      <c r="L10" s="46" t="s">
        <v>106</v>
      </c>
      <c r="M10" s="49">
        <v>5</v>
      </c>
      <c r="N10" s="44">
        <v>2</v>
      </c>
      <c r="O10" s="46" t="s">
        <v>107</v>
      </c>
      <c r="P10" s="50">
        <v>91000</v>
      </c>
      <c r="Q10" s="46" t="s">
        <v>131</v>
      </c>
      <c r="R10" s="46" t="s">
        <v>109</v>
      </c>
      <c r="S10" s="46" t="s">
        <v>132</v>
      </c>
      <c r="T10" s="45" t="s">
        <v>133</v>
      </c>
      <c r="U10" s="48" t="s">
        <v>112</v>
      </c>
      <c r="V10" s="48" t="s">
        <v>113</v>
      </c>
      <c r="W10" s="46" t="s">
        <v>114</v>
      </c>
      <c r="X10" s="48"/>
      <c r="Y10" s="50">
        <v>5</v>
      </c>
      <c r="Z10" s="50">
        <v>5</v>
      </c>
      <c r="AA10" s="50">
        <v>91000</v>
      </c>
      <c r="AB10" s="45" t="s">
        <v>192</v>
      </c>
      <c r="AC10" s="45" t="s">
        <v>198</v>
      </c>
      <c r="AD10" s="46" t="s">
        <v>126</v>
      </c>
      <c r="AE10" s="50">
        <v>5</v>
      </c>
      <c r="AF10" s="50">
        <v>0</v>
      </c>
      <c r="AG10" s="50">
        <v>5</v>
      </c>
      <c r="AH10" s="50">
        <v>5</v>
      </c>
      <c r="AI10" s="50">
        <v>0</v>
      </c>
      <c r="AJ10" s="50">
        <v>5</v>
      </c>
      <c r="AK10" s="50">
        <v>0</v>
      </c>
      <c r="AL10" s="50">
        <v>0</v>
      </c>
      <c r="AM10" s="50">
        <v>0</v>
      </c>
      <c r="AN10" s="50">
        <v>5</v>
      </c>
      <c r="AO10" s="50">
        <v>0</v>
      </c>
      <c r="AP10" s="50">
        <v>5</v>
      </c>
      <c r="AQ10" s="50">
        <v>91000</v>
      </c>
      <c r="AR10" s="50">
        <v>0</v>
      </c>
      <c r="AS10" s="50">
        <v>91000</v>
      </c>
    </row>
    <row r="11" spans="1:45" ht="30">
      <c r="A11" s="44">
        <v>37</v>
      </c>
      <c r="B11" s="45" t="s">
        <v>127</v>
      </c>
      <c r="C11" s="46" t="s">
        <v>196</v>
      </c>
      <c r="D11" s="47">
        <v>46275</v>
      </c>
      <c r="E11" s="47">
        <v>46277</v>
      </c>
      <c r="F11" s="47">
        <v>46274</v>
      </c>
      <c r="G11" s="47">
        <v>46283</v>
      </c>
      <c r="H11" s="48" t="s">
        <v>102</v>
      </c>
      <c r="I11" s="46" t="s">
        <v>199</v>
      </c>
      <c r="J11" s="46" t="s">
        <v>104</v>
      </c>
      <c r="K11" s="46" t="s">
        <v>130</v>
      </c>
      <c r="L11" s="46" t="s">
        <v>106</v>
      </c>
      <c r="M11" s="49">
        <v>1</v>
      </c>
      <c r="N11" s="44">
        <v>4</v>
      </c>
      <c r="O11" s="46" t="s">
        <v>118</v>
      </c>
      <c r="P11" s="50">
        <v>7000</v>
      </c>
      <c r="Q11" s="46" t="s">
        <v>131</v>
      </c>
      <c r="R11" s="46" t="s">
        <v>109</v>
      </c>
      <c r="S11" s="46" t="s">
        <v>132</v>
      </c>
      <c r="T11" s="45" t="s">
        <v>133</v>
      </c>
      <c r="U11" s="48" t="s">
        <v>134</v>
      </c>
      <c r="V11" s="48" t="s">
        <v>113</v>
      </c>
      <c r="W11" s="46" t="s">
        <v>114</v>
      </c>
      <c r="X11" s="48"/>
      <c r="Y11" s="50">
        <v>1</v>
      </c>
      <c r="Z11" s="50">
        <v>2</v>
      </c>
      <c r="AA11" s="50">
        <v>7000</v>
      </c>
      <c r="AB11" s="45" t="s">
        <v>192</v>
      </c>
      <c r="AC11" s="45" t="s">
        <v>200</v>
      </c>
      <c r="AD11" s="46" t="s">
        <v>121</v>
      </c>
      <c r="AE11" s="50">
        <v>0</v>
      </c>
      <c r="AF11" s="50">
        <v>1</v>
      </c>
      <c r="AG11" s="50">
        <v>1</v>
      </c>
      <c r="AH11" s="50">
        <v>0</v>
      </c>
      <c r="AI11" s="50">
        <v>0</v>
      </c>
      <c r="AJ11" s="50">
        <v>0</v>
      </c>
      <c r="AK11" s="50">
        <v>0</v>
      </c>
      <c r="AL11" s="50">
        <v>1</v>
      </c>
      <c r="AM11" s="50">
        <v>1</v>
      </c>
      <c r="AN11" s="50">
        <v>0</v>
      </c>
      <c r="AO11" s="50">
        <v>2</v>
      </c>
      <c r="AP11" s="50">
        <v>2</v>
      </c>
      <c r="AQ11" s="50">
        <v>0</v>
      </c>
      <c r="AR11" s="50">
        <v>7000</v>
      </c>
      <c r="AS11" s="50">
        <v>7000</v>
      </c>
    </row>
    <row r="12" spans="1:45" ht="30">
      <c r="A12" s="44">
        <v>37</v>
      </c>
      <c r="B12" s="45" t="s">
        <v>141</v>
      </c>
      <c r="C12" s="46" t="s">
        <v>201</v>
      </c>
      <c r="D12" s="47">
        <v>46277</v>
      </c>
      <c r="E12" s="47">
        <v>46278</v>
      </c>
      <c r="F12" s="47">
        <v>46276</v>
      </c>
      <c r="G12" s="47"/>
      <c r="H12" s="48" t="s">
        <v>102</v>
      </c>
      <c r="I12" s="46" t="s">
        <v>202</v>
      </c>
      <c r="J12" s="46" t="s">
        <v>104</v>
      </c>
      <c r="K12" s="46" t="s">
        <v>144</v>
      </c>
      <c r="L12" s="46" t="s">
        <v>106</v>
      </c>
      <c r="M12" s="49">
        <v>2</v>
      </c>
      <c r="N12" s="44">
        <v>4</v>
      </c>
      <c r="O12" s="46" t="s">
        <v>123</v>
      </c>
      <c r="P12" s="50">
        <v>36000</v>
      </c>
      <c r="Q12" s="46" t="s">
        <v>111</v>
      </c>
      <c r="R12" s="46" t="s">
        <v>109</v>
      </c>
      <c r="S12" s="46" t="s">
        <v>145</v>
      </c>
      <c r="T12" s="45" t="s">
        <v>108</v>
      </c>
      <c r="U12" s="48" t="s">
        <v>124</v>
      </c>
      <c r="V12" s="48" t="s">
        <v>113</v>
      </c>
      <c r="W12" s="46" t="s">
        <v>114</v>
      </c>
      <c r="X12" s="48"/>
      <c r="Y12" s="50">
        <v>2</v>
      </c>
      <c r="Z12" s="50">
        <v>4</v>
      </c>
      <c r="AA12" s="50">
        <v>36000</v>
      </c>
      <c r="AB12" s="45" t="s">
        <v>192</v>
      </c>
      <c r="AC12" s="45" t="s">
        <v>203</v>
      </c>
      <c r="AD12" s="46" t="s">
        <v>126</v>
      </c>
      <c r="AE12" s="50">
        <v>2</v>
      </c>
      <c r="AF12" s="50">
        <v>0</v>
      </c>
      <c r="AG12" s="50">
        <v>2</v>
      </c>
      <c r="AH12" s="50">
        <v>0</v>
      </c>
      <c r="AI12" s="50">
        <v>0</v>
      </c>
      <c r="AJ12" s="50">
        <v>0</v>
      </c>
      <c r="AK12" s="50">
        <v>2</v>
      </c>
      <c r="AL12" s="50">
        <v>0</v>
      </c>
      <c r="AM12" s="50">
        <v>2</v>
      </c>
      <c r="AN12" s="50">
        <v>4</v>
      </c>
      <c r="AO12" s="50">
        <v>0</v>
      </c>
      <c r="AP12" s="50">
        <v>4</v>
      </c>
      <c r="AQ12" s="50">
        <v>36000</v>
      </c>
      <c r="AR12" s="50">
        <v>0</v>
      </c>
      <c r="AS12" s="50">
        <v>36000</v>
      </c>
    </row>
    <row r="13" spans="1:45" ht="30">
      <c r="A13" s="44">
        <v>37</v>
      </c>
      <c r="B13" s="45" t="s">
        <v>141</v>
      </c>
      <c r="C13" s="46" t="s">
        <v>201</v>
      </c>
      <c r="D13" s="47">
        <v>46277</v>
      </c>
      <c r="E13" s="47">
        <v>46278</v>
      </c>
      <c r="F13" s="47">
        <v>46276</v>
      </c>
      <c r="G13" s="47"/>
      <c r="H13" s="48" t="s">
        <v>102</v>
      </c>
      <c r="I13" s="46" t="s">
        <v>204</v>
      </c>
      <c r="J13" s="46" t="s">
        <v>104</v>
      </c>
      <c r="K13" s="46" t="s">
        <v>144</v>
      </c>
      <c r="L13" s="46" t="s">
        <v>106</v>
      </c>
      <c r="M13" s="49">
        <v>3</v>
      </c>
      <c r="N13" s="44">
        <v>2</v>
      </c>
      <c r="O13" s="46" t="s">
        <v>107</v>
      </c>
      <c r="P13" s="50">
        <v>12000</v>
      </c>
      <c r="Q13" s="46" t="s">
        <v>111</v>
      </c>
      <c r="R13" s="46" t="s">
        <v>109</v>
      </c>
      <c r="S13" s="46" t="s">
        <v>145</v>
      </c>
      <c r="T13" s="45" t="s">
        <v>108</v>
      </c>
      <c r="U13" s="48" t="s">
        <v>119</v>
      </c>
      <c r="V13" s="48" t="s">
        <v>113</v>
      </c>
      <c r="W13" s="46" t="s">
        <v>114</v>
      </c>
      <c r="X13" s="48"/>
      <c r="Y13" s="50">
        <v>3</v>
      </c>
      <c r="Z13" s="50">
        <v>3</v>
      </c>
      <c r="AA13" s="50">
        <v>12000</v>
      </c>
      <c r="AB13" s="45" t="s">
        <v>192</v>
      </c>
      <c r="AC13" s="45" t="s">
        <v>205</v>
      </c>
      <c r="AD13" s="46" t="s">
        <v>121</v>
      </c>
      <c r="AE13" s="50">
        <v>0</v>
      </c>
      <c r="AF13" s="50">
        <v>3</v>
      </c>
      <c r="AG13" s="50">
        <v>3</v>
      </c>
      <c r="AH13" s="50">
        <v>0</v>
      </c>
      <c r="AI13" s="50">
        <v>3</v>
      </c>
      <c r="AJ13" s="50">
        <v>3</v>
      </c>
      <c r="AK13" s="50">
        <v>0</v>
      </c>
      <c r="AL13" s="50">
        <v>0</v>
      </c>
      <c r="AM13" s="50">
        <v>0</v>
      </c>
      <c r="AN13" s="50">
        <v>0</v>
      </c>
      <c r="AO13" s="50">
        <v>3</v>
      </c>
      <c r="AP13" s="50">
        <v>3</v>
      </c>
      <c r="AQ13" s="50">
        <v>0</v>
      </c>
      <c r="AR13" s="50">
        <v>12000</v>
      </c>
      <c r="AS13" s="50">
        <v>12000</v>
      </c>
    </row>
    <row r="14" spans="1:45" ht="30">
      <c r="A14" s="44">
        <v>37</v>
      </c>
      <c r="B14" s="45" t="s">
        <v>141</v>
      </c>
      <c r="C14" s="46" t="s">
        <v>201</v>
      </c>
      <c r="D14" s="47">
        <v>46277</v>
      </c>
      <c r="E14" s="47">
        <v>46278</v>
      </c>
      <c r="F14" s="47">
        <v>46276</v>
      </c>
      <c r="G14" s="47"/>
      <c r="H14" s="48" t="s">
        <v>102</v>
      </c>
      <c r="I14" s="46" t="s">
        <v>206</v>
      </c>
      <c r="J14" s="46" t="s">
        <v>104</v>
      </c>
      <c r="K14" s="46" t="s">
        <v>144</v>
      </c>
      <c r="L14" s="46" t="s">
        <v>106</v>
      </c>
      <c r="M14" s="49">
        <v>1</v>
      </c>
      <c r="N14" s="44">
        <v>4</v>
      </c>
      <c r="O14" s="46" t="s">
        <v>118</v>
      </c>
      <c r="P14" s="50">
        <v>22000</v>
      </c>
      <c r="Q14" s="46" t="s">
        <v>111</v>
      </c>
      <c r="R14" s="46" t="s">
        <v>109</v>
      </c>
      <c r="S14" s="46" t="s">
        <v>145</v>
      </c>
      <c r="T14" s="45" t="s">
        <v>108</v>
      </c>
      <c r="U14" s="48" t="s">
        <v>112</v>
      </c>
      <c r="V14" s="48" t="s">
        <v>113</v>
      </c>
      <c r="W14" s="46" t="s">
        <v>138</v>
      </c>
      <c r="X14" s="48" t="s">
        <v>207</v>
      </c>
      <c r="Y14" s="50">
        <v>0</v>
      </c>
      <c r="Z14" s="50">
        <v>0</v>
      </c>
      <c r="AA14" s="50">
        <v>0</v>
      </c>
      <c r="AB14" s="45" t="s">
        <v>192</v>
      </c>
      <c r="AC14" s="45" t="s">
        <v>208</v>
      </c>
      <c r="AD14" s="46" t="s">
        <v>126</v>
      </c>
      <c r="AE14" s="50">
        <v>0</v>
      </c>
      <c r="AF14" s="50">
        <v>0</v>
      </c>
      <c r="AG14" s="50">
        <v>0</v>
      </c>
      <c r="AH14" s="50">
        <v>0</v>
      </c>
      <c r="AI14" s="50">
        <v>0</v>
      </c>
      <c r="AJ14" s="50">
        <v>0</v>
      </c>
      <c r="AK14" s="50">
        <v>0</v>
      </c>
      <c r="AL14" s="50">
        <v>0</v>
      </c>
      <c r="AM14" s="50">
        <v>0</v>
      </c>
      <c r="AN14" s="50">
        <v>0</v>
      </c>
      <c r="AO14" s="50">
        <v>0</v>
      </c>
      <c r="AP14" s="50">
        <v>0</v>
      </c>
      <c r="AQ14" s="50">
        <v>0</v>
      </c>
      <c r="AR14" s="50">
        <v>0</v>
      </c>
      <c r="AS14" s="50">
        <v>0</v>
      </c>
    </row>
    <row r="15" spans="1:45" ht="30">
      <c r="A15" s="44">
        <v>37</v>
      </c>
      <c r="B15" s="45" t="s">
        <v>100</v>
      </c>
      <c r="C15" s="46" t="s">
        <v>190</v>
      </c>
      <c r="D15" s="47">
        <v>46274</v>
      </c>
      <c r="E15" s="47">
        <v>46276</v>
      </c>
      <c r="F15" s="47">
        <v>46273</v>
      </c>
      <c r="G15" s="47">
        <v>46282</v>
      </c>
      <c r="H15" s="48" t="s">
        <v>102</v>
      </c>
      <c r="I15" s="46" t="s">
        <v>209</v>
      </c>
      <c r="J15" s="46" t="s">
        <v>104</v>
      </c>
      <c r="K15" s="46" t="s">
        <v>105</v>
      </c>
      <c r="L15" s="46" t="s">
        <v>106</v>
      </c>
      <c r="M15" s="49">
        <v>2</v>
      </c>
      <c r="N15" s="44">
        <v>2</v>
      </c>
      <c r="O15" s="46" t="s">
        <v>107</v>
      </c>
      <c r="P15" s="50">
        <v>30000</v>
      </c>
      <c r="Q15" s="46" t="s">
        <v>108</v>
      </c>
      <c r="R15" s="46" t="s">
        <v>109</v>
      </c>
      <c r="S15" s="46"/>
      <c r="T15" s="45" t="s">
        <v>111</v>
      </c>
      <c r="U15" s="48" t="s">
        <v>134</v>
      </c>
      <c r="V15" s="48" t="s">
        <v>210</v>
      </c>
      <c r="W15" s="46" t="s">
        <v>114</v>
      </c>
      <c r="X15" s="48"/>
      <c r="Y15" s="50">
        <v>2</v>
      </c>
      <c r="Z15" s="50">
        <v>2</v>
      </c>
      <c r="AA15" s="50">
        <v>30000</v>
      </c>
      <c r="AB15" s="45" t="s">
        <v>192</v>
      </c>
      <c r="AC15" s="45" t="s">
        <v>211</v>
      </c>
      <c r="AD15" s="46" t="s">
        <v>126</v>
      </c>
      <c r="AE15" s="50">
        <v>2</v>
      </c>
      <c r="AF15" s="50">
        <v>0</v>
      </c>
      <c r="AG15" s="50">
        <v>2</v>
      </c>
      <c r="AH15" s="50">
        <v>2</v>
      </c>
      <c r="AI15" s="50">
        <v>0</v>
      </c>
      <c r="AJ15" s="50">
        <v>2</v>
      </c>
      <c r="AK15" s="50">
        <v>0</v>
      </c>
      <c r="AL15" s="50">
        <v>0</v>
      </c>
      <c r="AM15" s="50">
        <v>0</v>
      </c>
      <c r="AN15" s="50">
        <v>2</v>
      </c>
      <c r="AO15" s="50">
        <v>0</v>
      </c>
      <c r="AP15" s="50">
        <v>2</v>
      </c>
      <c r="AQ15" s="50">
        <v>30000</v>
      </c>
      <c r="AR15" s="50">
        <v>0</v>
      </c>
      <c r="AS15" s="50">
        <v>30000</v>
      </c>
    </row>
    <row r="16" spans="1:45" ht="45">
      <c r="A16" s="44">
        <v>37</v>
      </c>
      <c r="B16" s="45" t="s">
        <v>127</v>
      </c>
      <c r="C16" s="46" t="s">
        <v>196</v>
      </c>
      <c r="D16" s="47">
        <v>46275</v>
      </c>
      <c r="E16" s="47">
        <v>46277</v>
      </c>
      <c r="F16" s="47">
        <v>46274</v>
      </c>
      <c r="G16" s="47">
        <v>46283</v>
      </c>
      <c r="H16" s="48" t="s">
        <v>102</v>
      </c>
      <c r="I16" s="46" t="s">
        <v>212</v>
      </c>
      <c r="J16" s="46" t="s">
        <v>104</v>
      </c>
      <c r="K16" s="46" t="s">
        <v>130</v>
      </c>
      <c r="L16" s="46" t="s">
        <v>106</v>
      </c>
      <c r="M16" s="49">
        <v>2</v>
      </c>
      <c r="N16" s="44">
        <v>3</v>
      </c>
      <c r="O16" s="46"/>
      <c r="P16" s="50">
        <v>25000</v>
      </c>
      <c r="Q16" s="46" t="s">
        <v>131</v>
      </c>
      <c r="R16" s="46" t="s">
        <v>109</v>
      </c>
      <c r="S16" s="46" t="s">
        <v>132</v>
      </c>
      <c r="T16" s="45" t="s">
        <v>133</v>
      </c>
      <c r="U16" s="48" t="s">
        <v>124</v>
      </c>
      <c r="V16" s="48" t="s">
        <v>213</v>
      </c>
      <c r="W16" s="46" t="s">
        <v>114</v>
      </c>
      <c r="X16" s="48"/>
      <c r="Y16" s="50">
        <v>2</v>
      </c>
      <c r="Z16" s="50">
        <v>0</v>
      </c>
      <c r="AA16" s="50">
        <v>25000</v>
      </c>
      <c r="AB16" s="45" t="s">
        <v>192</v>
      </c>
      <c r="AC16" s="45" t="s">
        <v>214</v>
      </c>
      <c r="AD16" s="46" t="s">
        <v>126</v>
      </c>
      <c r="AE16" s="50">
        <v>2</v>
      </c>
      <c r="AF16" s="50">
        <v>0</v>
      </c>
      <c r="AG16" s="50">
        <v>2</v>
      </c>
      <c r="AH16" s="50">
        <v>0</v>
      </c>
      <c r="AI16" s="50">
        <v>0</v>
      </c>
      <c r="AJ16" s="50">
        <v>0</v>
      </c>
      <c r="AK16" s="50">
        <v>0</v>
      </c>
      <c r="AL16" s="50">
        <v>0</v>
      </c>
      <c r="AM16" s="50">
        <v>0</v>
      </c>
      <c r="AN16" s="50">
        <v>0</v>
      </c>
      <c r="AO16" s="50">
        <v>0</v>
      </c>
      <c r="AP16" s="50">
        <v>0</v>
      </c>
      <c r="AQ16" s="50">
        <v>25000</v>
      </c>
      <c r="AR16" s="50">
        <v>0</v>
      </c>
      <c r="AS16" s="50">
        <v>25000</v>
      </c>
    </row>
    <row r="17" spans="1:45" ht="30">
      <c r="A17" s="44">
        <v>37</v>
      </c>
      <c r="B17" s="45" t="s">
        <v>100</v>
      </c>
      <c r="C17" s="46" t="s">
        <v>190</v>
      </c>
      <c r="D17" s="47">
        <v>46275</v>
      </c>
      <c r="E17" s="47">
        <v>46276</v>
      </c>
      <c r="F17" s="47">
        <v>46273</v>
      </c>
      <c r="G17" s="47">
        <v>46282</v>
      </c>
      <c r="H17" s="48" t="s">
        <v>215</v>
      </c>
      <c r="I17" s="46" t="s">
        <v>216</v>
      </c>
      <c r="J17" s="46" t="s">
        <v>104</v>
      </c>
      <c r="K17" s="46" t="s">
        <v>105</v>
      </c>
      <c r="L17" s="46" t="s">
        <v>106</v>
      </c>
      <c r="M17" s="49">
        <v>4</v>
      </c>
      <c r="N17" s="44">
        <v>4</v>
      </c>
      <c r="O17" s="46" t="s">
        <v>118</v>
      </c>
      <c r="P17" s="50">
        <v>60000</v>
      </c>
      <c r="Q17" s="46" t="s">
        <v>108</v>
      </c>
      <c r="R17" s="46" t="s">
        <v>109</v>
      </c>
      <c r="S17" s="46" t="s">
        <v>110</v>
      </c>
      <c r="T17" s="45" t="s">
        <v>111</v>
      </c>
      <c r="U17" s="48" t="s">
        <v>112</v>
      </c>
      <c r="V17" s="48" t="s">
        <v>113</v>
      </c>
      <c r="W17" s="46" t="s">
        <v>114</v>
      </c>
      <c r="X17" s="48"/>
      <c r="Y17" s="50">
        <v>4</v>
      </c>
      <c r="Z17" s="50">
        <v>8</v>
      </c>
      <c r="AA17" s="50">
        <v>60000</v>
      </c>
      <c r="AB17" s="45" t="s">
        <v>192</v>
      </c>
      <c r="AC17" s="45" t="s">
        <v>217</v>
      </c>
      <c r="AD17" s="46" t="s">
        <v>121</v>
      </c>
      <c r="AE17" s="50">
        <v>0</v>
      </c>
      <c r="AF17" s="50">
        <v>4</v>
      </c>
      <c r="AG17" s="50">
        <v>4</v>
      </c>
      <c r="AH17" s="50">
        <v>0</v>
      </c>
      <c r="AI17" s="50">
        <v>0</v>
      </c>
      <c r="AJ17" s="50">
        <v>0</v>
      </c>
      <c r="AK17" s="50">
        <v>0</v>
      </c>
      <c r="AL17" s="50">
        <v>4</v>
      </c>
      <c r="AM17" s="50">
        <v>4</v>
      </c>
      <c r="AN17" s="50">
        <v>0</v>
      </c>
      <c r="AO17" s="50">
        <v>8</v>
      </c>
      <c r="AP17" s="50">
        <v>8</v>
      </c>
      <c r="AQ17" s="50">
        <v>0</v>
      </c>
      <c r="AR17" s="50">
        <v>60000</v>
      </c>
      <c r="AS17" s="50">
        <v>60000</v>
      </c>
    </row>
    <row r="18" spans="1:45" ht="30">
      <c r="A18" s="44">
        <v>38</v>
      </c>
      <c r="B18" s="45" t="s">
        <v>100</v>
      </c>
      <c r="C18" s="46" t="s">
        <v>258</v>
      </c>
      <c r="D18" s="47">
        <v>46281</v>
      </c>
      <c r="E18" s="47">
        <v>46283</v>
      </c>
      <c r="F18" s="47">
        <v>46280</v>
      </c>
      <c r="G18" s="47">
        <v>46289</v>
      </c>
      <c r="H18" s="48" t="s">
        <v>102</v>
      </c>
      <c r="I18" s="46" t="s">
        <v>259</v>
      </c>
      <c r="J18" s="46" t="s">
        <v>104</v>
      </c>
      <c r="K18" s="46" t="s">
        <v>105</v>
      </c>
      <c r="L18" s="46" t="s">
        <v>106</v>
      </c>
      <c r="M18" s="49">
        <v>3</v>
      </c>
      <c r="N18" s="44">
        <v>4</v>
      </c>
      <c r="O18" s="46" t="s">
        <v>118</v>
      </c>
      <c r="P18" s="50">
        <v>62000</v>
      </c>
      <c r="Q18" s="46" t="s">
        <v>108</v>
      </c>
      <c r="R18" s="46" t="s">
        <v>109</v>
      </c>
      <c r="S18" s="46" t="s">
        <v>110</v>
      </c>
      <c r="T18" s="45" t="s">
        <v>111</v>
      </c>
      <c r="U18" s="48" t="s">
        <v>112</v>
      </c>
      <c r="V18" s="48" t="s">
        <v>113</v>
      </c>
      <c r="W18" s="46" t="s">
        <v>114</v>
      </c>
      <c r="X18" s="48"/>
      <c r="Y18" s="50">
        <v>3</v>
      </c>
      <c r="Z18" s="50">
        <v>6</v>
      </c>
      <c r="AA18" s="50">
        <v>62000</v>
      </c>
      <c r="AB18" s="45" t="s">
        <v>260</v>
      </c>
      <c r="AC18" s="45" t="s">
        <v>261</v>
      </c>
      <c r="AD18" s="46" t="s">
        <v>126</v>
      </c>
      <c r="AE18" s="50">
        <v>3</v>
      </c>
      <c r="AF18" s="50">
        <v>0</v>
      </c>
      <c r="AG18" s="50">
        <v>3</v>
      </c>
      <c r="AH18" s="50">
        <v>0</v>
      </c>
      <c r="AI18" s="50">
        <v>0</v>
      </c>
      <c r="AJ18" s="50">
        <v>0</v>
      </c>
      <c r="AK18" s="50">
        <v>3</v>
      </c>
      <c r="AL18" s="50">
        <v>0</v>
      </c>
      <c r="AM18" s="50">
        <v>3</v>
      </c>
      <c r="AN18" s="50">
        <v>6</v>
      </c>
      <c r="AO18" s="50">
        <v>0</v>
      </c>
      <c r="AP18" s="50">
        <v>6</v>
      </c>
      <c r="AQ18" s="50">
        <v>62000</v>
      </c>
      <c r="AR18" s="50">
        <v>0</v>
      </c>
      <c r="AS18" s="50">
        <v>62000</v>
      </c>
    </row>
    <row r="19" spans="1:45" ht="30">
      <c r="A19" s="44">
        <v>38</v>
      </c>
      <c r="B19" s="45" t="s">
        <v>100</v>
      </c>
      <c r="C19" s="46" t="s">
        <v>258</v>
      </c>
      <c r="D19" s="47">
        <v>46281</v>
      </c>
      <c r="E19" s="47">
        <v>46283</v>
      </c>
      <c r="F19" s="47">
        <v>46280</v>
      </c>
      <c r="G19" s="47">
        <v>46289</v>
      </c>
      <c r="H19" s="48" t="s">
        <v>102</v>
      </c>
      <c r="I19" s="46" t="s">
        <v>262</v>
      </c>
      <c r="J19" s="46" t="s">
        <v>104</v>
      </c>
      <c r="K19" s="46" t="s">
        <v>105</v>
      </c>
      <c r="L19" s="46" t="s">
        <v>106</v>
      </c>
      <c r="M19" s="49">
        <v>1</v>
      </c>
      <c r="N19" s="44">
        <v>2</v>
      </c>
      <c r="O19" s="46" t="s">
        <v>107</v>
      </c>
      <c r="P19" s="50">
        <v>4000</v>
      </c>
      <c r="Q19" s="46" t="s">
        <v>108</v>
      </c>
      <c r="R19" s="46" t="s">
        <v>109</v>
      </c>
      <c r="S19" s="46" t="s">
        <v>110</v>
      </c>
      <c r="T19" s="45" t="s">
        <v>111</v>
      </c>
      <c r="U19" s="48" t="s">
        <v>119</v>
      </c>
      <c r="V19" s="48" t="s">
        <v>113</v>
      </c>
      <c r="W19" s="46" t="s">
        <v>114</v>
      </c>
      <c r="X19" s="48"/>
      <c r="Y19" s="50">
        <v>1</v>
      </c>
      <c r="Z19" s="50">
        <v>1</v>
      </c>
      <c r="AA19" s="50">
        <v>4000</v>
      </c>
      <c r="AB19" s="45" t="s">
        <v>260</v>
      </c>
      <c r="AC19" s="45" t="s">
        <v>263</v>
      </c>
      <c r="AD19" s="46" t="s">
        <v>121</v>
      </c>
      <c r="AE19" s="50">
        <v>0</v>
      </c>
      <c r="AF19" s="50">
        <v>1</v>
      </c>
      <c r="AG19" s="50">
        <v>1</v>
      </c>
      <c r="AH19" s="50">
        <v>0</v>
      </c>
      <c r="AI19" s="50">
        <v>1</v>
      </c>
      <c r="AJ19" s="50">
        <v>1</v>
      </c>
      <c r="AK19" s="50">
        <v>0</v>
      </c>
      <c r="AL19" s="50">
        <v>0</v>
      </c>
      <c r="AM19" s="50">
        <v>0</v>
      </c>
      <c r="AN19" s="50">
        <v>0</v>
      </c>
      <c r="AO19" s="50">
        <v>1</v>
      </c>
      <c r="AP19" s="50">
        <v>1</v>
      </c>
      <c r="AQ19" s="50">
        <v>0</v>
      </c>
      <c r="AR19" s="50">
        <v>4000</v>
      </c>
      <c r="AS19" s="50">
        <v>4000</v>
      </c>
    </row>
    <row r="20" spans="1:45" ht="30">
      <c r="A20" s="44">
        <v>38</v>
      </c>
      <c r="B20" s="45" t="s">
        <v>127</v>
      </c>
      <c r="C20" s="46" t="s">
        <v>264</v>
      </c>
      <c r="D20" s="47">
        <v>46282</v>
      </c>
      <c r="E20" s="47">
        <v>46284</v>
      </c>
      <c r="F20" s="47">
        <v>46281</v>
      </c>
      <c r="G20" s="47">
        <v>46290</v>
      </c>
      <c r="H20" s="48" t="s">
        <v>102</v>
      </c>
      <c r="I20" s="46" t="s">
        <v>265</v>
      </c>
      <c r="J20" s="46" t="s">
        <v>104</v>
      </c>
      <c r="K20" s="46" t="s">
        <v>130</v>
      </c>
      <c r="L20" s="46" t="s">
        <v>106</v>
      </c>
      <c r="M20" s="49">
        <v>6</v>
      </c>
      <c r="N20" s="44">
        <v>2</v>
      </c>
      <c r="O20" s="46" t="s">
        <v>107</v>
      </c>
      <c r="P20" s="50">
        <v>108000</v>
      </c>
      <c r="Q20" s="46" t="s">
        <v>131</v>
      </c>
      <c r="R20" s="46" t="s">
        <v>109</v>
      </c>
      <c r="S20" s="46" t="s">
        <v>132</v>
      </c>
      <c r="T20" s="45" t="s">
        <v>133</v>
      </c>
      <c r="U20" s="48" t="s">
        <v>134</v>
      </c>
      <c r="V20" s="48" t="s">
        <v>113</v>
      </c>
      <c r="W20" s="46" t="s">
        <v>114</v>
      </c>
      <c r="X20" s="48"/>
      <c r="Y20" s="50">
        <v>6</v>
      </c>
      <c r="Z20" s="50">
        <v>6</v>
      </c>
      <c r="AA20" s="50">
        <v>108000</v>
      </c>
      <c r="AB20" s="45" t="s">
        <v>260</v>
      </c>
      <c r="AC20" s="45" t="s">
        <v>266</v>
      </c>
      <c r="AD20" s="46" t="s">
        <v>126</v>
      </c>
      <c r="AE20" s="50">
        <v>6</v>
      </c>
      <c r="AF20" s="50">
        <v>0</v>
      </c>
      <c r="AG20" s="50">
        <v>6</v>
      </c>
      <c r="AH20" s="50">
        <v>6</v>
      </c>
      <c r="AI20" s="50">
        <v>0</v>
      </c>
      <c r="AJ20" s="50">
        <v>6</v>
      </c>
      <c r="AK20" s="50">
        <v>0</v>
      </c>
      <c r="AL20" s="50">
        <v>0</v>
      </c>
      <c r="AM20" s="50">
        <v>0</v>
      </c>
      <c r="AN20" s="50">
        <v>6</v>
      </c>
      <c r="AO20" s="50">
        <v>0</v>
      </c>
      <c r="AP20" s="50">
        <v>6</v>
      </c>
      <c r="AQ20" s="50">
        <v>108000</v>
      </c>
      <c r="AR20" s="50">
        <v>0</v>
      </c>
      <c r="AS20" s="50">
        <v>108000</v>
      </c>
    </row>
    <row r="21" spans="1:45" ht="30">
      <c r="A21" s="44">
        <v>38</v>
      </c>
      <c r="B21" s="45" t="s">
        <v>141</v>
      </c>
      <c r="C21" s="46" t="s">
        <v>267</v>
      </c>
      <c r="D21" s="47">
        <v>46284</v>
      </c>
      <c r="E21" s="47">
        <v>46285</v>
      </c>
      <c r="F21" s="47">
        <v>46283</v>
      </c>
      <c r="G21" s="47"/>
      <c r="H21" s="48" t="s">
        <v>102</v>
      </c>
      <c r="I21" s="46" t="s">
        <v>268</v>
      </c>
      <c r="J21" s="46" t="s">
        <v>104</v>
      </c>
      <c r="K21" s="46" t="s">
        <v>144</v>
      </c>
      <c r="L21" s="46" t="s">
        <v>106</v>
      </c>
      <c r="M21" s="49">
        <v>2</v>
      </c>
      <c r="N21" s="44">
        <v>4</v>
      </c>
      <c r="O21" s="46" t="s">
        <v>118</v>
      </c>
      <c r="P21" s="50">
        <v>15000</v>
      </c>
      <c r="Q21" s="46" t="s">
        <v>111</v>
      </c>
      <c r="R21" s="46" t="s">
        <v>109</v>
      </c>
      <c r="S21" s="46" t="s">
        <v>145</v>
      </c>
      <c r="T21" s="45" t="s">
        <v>108</v>
      </c>
      <c r="U21" s="48" t="s">
        <v>124</v>
      </c>
      <c r="V21" s="48" t="s">
        <v>113</v>
      </c>
      <c r="W21" s="46" t="s">
        <v>114</v>
      </c>
      <c r="X21" s="48"/>
      <c r="Y21" s="50">
        <v>2</v>
      </c>
      <c r="Z21" s="50">
        <v>4</v>
      </c>
      <c r="AA21" s="50">
        <v>15000</v>
      </c>
      <c r="AB21" s="45" t="s">
        <v>260</v>
      </c>
      <c r="AC21" s="45" t="s">
        <v>269</v>
      </c>
      <c r="AD21" s="46" t="s">
        <v>121</v>
      </c>
      <c r="AE21" s="50">
        <v>0</v>
      </c>
      <c r="AF21" s="50">
        <v>2</v>
      </c>
      <c r="AG21" s="50">
        <v>2</v>
      </c>
      <c r="AH21" s="50">
        <v>0</v>
      </c>
      <c r="AI21" s="50">
        <v>0</v>
      </c>
      <c r="AJ21" s="50">
        <v>0</v>
      </c>
      <c r="AK21" s="50">
        <v>0</v>
      </c>
      <c r="AL21" s="50">
        <v>2</v>
      </c>
      <c r="AM21" s="50">
        <v>2</v>
      </c>
      <c r="AN21" s="50">
        <v>0</v>
      </c>
      <c r="AO21" s="50">
        <v>4</v>
      </c>
      <c r="AP21" s="50">
        <v>4</v>
      </c>
      <c r="AQ21" s="50">
        <v>0</v>
      </c>
      <c r="AR21" s="50">
        <v>15000</v>
      </c>
      <c r="AS21" s="50">
        <v>15000</v>
      </c>
    </row>
    <row r="22" spans="1:45" ht="30">
      <c r="A22" s="44">
        <v>38</v>
      </c>
      <c r="B22" s="45" t="s">
        <v>141</v>
      </c>
      <c r="C22" s="46" t="s">
        <v>267</v>
      </c>
      <c r="D22" s="47">
        <v>46284</v>
      </c>
      <c r="E22" s="47">
        <v>46285</v>
      </c>
      <c r="F22" s="47">
        <v>46283</v>
      </c>
      <c r="G22" s="47"/>
      <c r="H22" s="48" t="s">
        <v>102</v>
      </c>
      <c r="I22" s="46" t="s">
        <v>270</v>
      </c>
      <c r="J22" s="46" t="s">
        <v>104</v>
      </c>
      <c r="K22" s="46" t="s">
        <v>144</v>
      </c>
      <c r="L22" s="46" t="s">
        <v>106</v>
      </c>
      <c r="M22" s="49">
        <v>2</v>
      </c>
      <c r="N22" s="44">
        <v>2</v>
      </c>
      <c r="O22" s="46" t="s">
        <v>123</v>
      </c>
      <c r="P22" s="50">
        <v>34000</v>
      </c>
      <c r="Q22" s="46" t="s">
        <v>111</v>
      </c>
      <c r="R22" s="46" t="s">
        <v>109</v>
      </c>
      <c r="S22" s="46" t="s">
        <v>145</v>
      </c>
      <c r="T22" s="45" t="s">
        <v>108</v>
      </c>
      <c r="U22" s="48" t="s">
        <v>112</v>
      </c>
      <c r="V22" s="48" t="s">
        <v>113</v>
      </c>
      <c r="W22" s="46" t="s">
        <v>114</v>
      </c>
      <c r="X22" s="48"/>
      <c r="Y22" s="50">
        <v>2</v>
      </c>
      <c r="Z22" s="50">
        <v>2</v>
      </c>
      <c r="AA22" s="50">
        <v>34000</v>
      </c>
      <c r="AB22" s="45" t="s">
        <v>260</v>
      </c>
      <c r="AC22" s="45" t="s">
        <v>271</v>
      </c>
      <c r="AD22" s="46" t="s">
        <v>126</v>
      </c>
      <c r="AE22" s="50">
        <v>2</v>
      </c>
      <c r="AF22" s="50">
        <v>0</v>
      </c>
      <c r="AG22" s="50">
        <v>2</v>
      </c>
      <c r="AH22" s="50">
        <v>2</v>
      </c>
      <c r="AI22" s="50">
        <v>0</v>
      </c>
      <c r="AJ22" s="50">
        <v>2</v>
      </c>
      <c r="AK22" s="50">
        <v>0</v>
      </c>
      <c r="AL22" s="50">
        <v>0</v>
      </c>
      <c r="AM22" s="50">
        <v>0</v>
      </c>
      <c r="AN22" s="50">
        <v>2</v>
      </c>
      <c r="AO22" s="50">
        <v>0</v>
      </c>
      <c r="AP22" s="50">
        <v>2</v>
      </c>
      <c r="AQ22" s="50">
        <v>34000</v>
      </c>
      <c r="AR22" s="50">
        <v>0</v>
      </c>
      <c r="AS22" s="50">
        <v>34000</v>
      </c>
    </row>
    <row r="23" spans="1:45" ht="30">
      <c r="A23" s="44">
        <v>38</v>
      </c>
      <c r="B23" s="45" t="s">
        <v>100</v>
      </c>
      <c r="C23" s="46" t="s">
        <v>258</v>
      </c>
      <c r="D23" s="47">
        <v>46281</v>
      </c>
      <c r="E23" s="47">
        <v>46283</v>
      </c>
      <c r="F23" s="47">
        <v>46280</v>
      </c>
      <c r="G23" s="47">
        <v>46289</v>
      </c>
      <c r="H23" s="48" t="s">
        <v>102</v>
      </c>
      <c r="I23" s="46" t="s">
        <v>272</v>
      </c>
      <c r="J23" s="46" t="s">
        <v>104</v>
      </c>
      <c r="K23" s="46" t="s">
        <v>105</v>
      </c>
      <c r="L23" s="46" t="s">
        <v>106</v>
      </c>
      <c r="M23" s="49">
        <v>1</v>
      </c>
      <c r="N23" s="44">
        <v>4</v>
      </c>
      <c r="O23" s="46" t="s">
        <v>118</v>
      </c>
      <c r="P23" s="50">
        <v>20000</v>
      </c>
      <c r="Q23" s="46" t="s">
        <v>108</v>
      </c>
      <c r="R23" s="46" t="s">
        <v>109</v>
      </c>
      <c r="S23" s="46" t="s">
        <v>110</v>
      </c>
      <c r="T23" s="45" t="s">
        <v>111</v>
      </c>
      <c r="U23" s="48" t="s">
        <v>119</v>
      </c>
      <c r="V23" s="48" t="s">
        <v>113</v>
      </c>
      <c r="W23" s="46" t="s">
        <v>138</v>
      </c>
      <c r="X23" s="48" t="s">
        <v>273</v>
      </c>
      <c r="Y23" s="50">
        <v>0</v>
      </c>
      <c r="Z23" s="50">
        <v>0</v>
      </c>
      <c r="AA23" s="50">
        <v>0</v>
      </c>
      <c r="AB23" s="45" t="s">
        <v>260</v>
      </c>
      <c r="AC23" s="45" t="s">
        <v>274</v>
      </c>
      <c r="AD23" s="46" t="s">
        <v>126</v>
      </c>
      <c r="AE23" s="50">
        <v>0</v>
      </c>
      <c r="AF23" s="50">
        <v>0</v>
      </c>
      <c r="AG23" s="50">
        <v>0</v>
      </c>
      <c r="AH23" s="50">
        <v>0</v>
      </c>
      <c r="AI23" s="50">
        <v>0</v>
      </c>
      <c r="AJ23" s="50">
        <v>0</v>
      </c>
      <c r="AK23" s="50">
        <v>0</v>
      </c>
      <c r="AL23" s="50">
        <v>0</v>
      </c>
      <c r="AM23" s="50">
        <v>0</v>
      </c>
      <c r="AN23" s="50">
        <v>0</v>
      </c>
      <c r="AO23" s="50">
        <v>0</v>
      </c>
      <c r="AP23" s="50">
        <v>0</v>
      </c>
      <c r="AQ23" s="50">
        <v>0</v>
      </c>
      <c r="AR23" s="50">
        <v>0</v>
      </c>
      <c r="AS23" s="50">
        <v>0</v>
      </c>
    </row>
  </sheetData>
  <phoneticPr fontId="3" type="noConversion"/>
  <conditionalFormatting sqref="A2:AS9760">
    <cfRule type="expression" dxfId="36" priority="1">
      <formula>AND($A2&lt;&gt;"",ISODD($A2),$W2&lt;&gt;"Cancelled")</formula>
    </cfRule>
    <cfRule type="expression" dxfId="35" priority="2">
      <formula>AND($A2&lt;&gt;"",ISEVEN($A2),$W2&lt;&gt;"Cancelled")</formula>
    </cfRule>
    <cfRule type="expression" dxfId="34" priority="3">
      <formula>$W2="Cancelled"</formula>
    </cfRule>
  </conditionalFormatting>
  <pageMargins left="0.7" right="0.7" top="0.75" bottom="0.75" header="0.3" footer="0.3"/>
  <pageSetup paperSize="9" orientation="portrait"/>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80D84-2616-43E8-B6DE-A304433BFAE8}">
  <sheetPr codeName="Sheet6"/>
  <dimension ref="A1:CI1000"/>
  <sheetViews>
    <sheetView tabSelected="1" zoomScale="76" zoomScaleNormal="71" workbookViewId="0">
      <pane xSplit="1" ySplit="11" topLeftCell="N12" activePane="bottomRight" state="frozen"/>
      <selection pane="topRight"/>
      <selection pane="bottomLeft"/>
      <selection pane="bottomRight" activeCell="AN21" sqref="AN21"/>
    </sheetView>
  </sheetViews>
  <sheetFormatPr baseColWidth="10" defaultColWidth="8.6640625" defaultRowHeight="15"/>
  <cols>
    <col min="1" max="1" width="13" customWidth="1"/>
    <col min="2" max="2" width="11.5" customWidth="1"/>
    <col min="3" max="3" width="7" bestFit="1" customWidth="1"/>
    <col min="4" max="4" width="7.33203125" bestFit="1" customWidth="1"/>
    <col min="5" max="6" width="11.83203125" bestFit="1" customWidth="1"/>
    <col min="7" max="7" width="12.1640625" bestFit="1" customWidth="1"/>
    <col min="8" max="8" width="11.83203125" bestFit="1" customWidth="1"/>
    <col min="9" max="9" width="38.5" bestFit="1" customWidth="1"/>
    <col min="10" max="10" width="15.5" bestFit="1" customWidth="1"/>
    <col min="11" max="11" width="19.1640625" bestFit="1" customWidth="1"/>
    <col min="12" max="12" width="10.5" bestFit="1" customWidth="1"/>
    <col min="13" max="13" width="15.5" bestFit="1" customWidth="1"/>
    <col min="14" max="14" width="22.83203125" bestFit="1" customWidth="1"/>
    <col min="15" max="15" width="10" bestFit="1" customWidth="1"/>
    <col min="16" max="16" width="12" bestFit="1" customWidth="1"/>
    <col min="17" max="17" width="10.83203125" bestFit="1" customWidth="1"/>
    <col min="18" max="18" width="11.33203125" bestFit="1" customWidth="1"/>
    <col min="19" max="19" width="10.5" bestFit="1" customWidth="1"/>
    <col min="20" max="20" width="11" bestFit="1" customWidth="1"/>
    <col min="21" max="21" width="14.5" bestFit="1" customWidth="1"/>
    <col min="22" max="22" width="11.5" bestFit="1" customWidth="1"/>
    <col min="23" max="23" width="17.5" bestFit="1" customWidth="1"/>
    <col min="24" max="24" width="14.1640625" bestFit="1" customWidth="1"/>
    <col min="25" max="25" width="13.83203125" bestFit="1" customWidth="1"/>
    <col min="26" max="26" width="11.1640625" bestFit="1" customWidth="1"/>
    <col min="27" max="27" width="10.5" bestFit="1" customWidth="1"/>
    <col min="28" max="28" width="9.5" bestFit="1" customWidth="1"/>
    <col min="29" max="29" width="11" bestFit="1" customWidth="1"/>
    <col min="30" max="30" width="3.5" customWidth="1"/>
    <col min="31" max="31" width="17.5" bestFit="1" customWidth="1"/>
    <col min="32" max="34" width="8.33203125" bestFit="1" customWidth="1"/>
    <col min="35" max="35" width="15.33203125" bestFit="1" customWidth="1"/>
    <col min="36" max="36" width="17" bestFit="1" customWidth="1"/>
    <col min="37" max="37" width="14.83203125" bestFit="1" customWidth="1"/>
    <col min="38" max="38" width="15.33203125" bestFit="1" customWidth="1"/>
    <col min="39" max="39" width="7.33203125" bestFit="1" customWidth="1"/>
    <col min="40" max="40" width="9.6640625" bestFit="1" customWidth="1"/>
    <col min="41" max="41" width="12.5" bestFit="1" customWidth="1"/>
    <col min="42" max="42" width="5.6640625" bestFit="1" customWidth="1"/>
    <col min="43" max="43" width="6.5" bestFit="1" customWidth="1"/>
    <col min="44" max="80" width="11.5" customWidth="1"/>
    <col min="81" max="81" width="11.33203125" bestFit="1" customWidth="1"/>
    <col min="82" max="82" width="8.83203125" bestFit="1" customWidth="1"/>
    <col min="83" max="83" width="9.6640625" bestFit="1" customWidth="1"/>
    <col min="84" max="84" width="8" bestFit="1" customWidth="1"/>
    <col min="85" max="85" width="10.5" bestFit="1" customWidth="1"/>
    <col min="86" max="86" width="3.1640625" bestFit="1" customWidth="1"/>
    <col min="87" max="87" width="10.6640625" bestFit="1" customWidth="1"/>
  </cols>
  <sheetData>
    <row r="1" spans="1:87" ht="26" customHeight="1">
      <c r="A1" s="59" t="s">
        <v>38</v>
      </c>
      <c r="B1" s="59"/>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row>
    <row r="2" spans="1:87" ht="22" customHeight="1">
      <c r="A2" s="6" t="s">
        <v>1</v>
      </c>
      <c r="B2" s="7"/>
      <c r="C2" s="5"/>
      <c r="D2" s="5"/>
      <c r="E2" s="5"/>
      <c r="F2" s="5"/>
      <c r="G2" s="5"/>
      <c r="H2" s="5"/>
      <c r="I2" s="61" t="s">
        <v>39</v>
      </c>
      <c r="J2" s="61"/>
      <c r="K2" s="9"/>
      <c r="L2" s="9"/>
      <c r="M2" s="9"/>
      <c r="N2" s="5"/>
      <c r="O2" s="63" t="s">
        <v>40</v>
      </c>
      <c r="P2" s="63"/>
      <c r="Q2" s="10"/>
      <c r="R2" s="10"/>
      <c r="S2" s="10"/>
      <c r="T2" s="10"/>
      <c r="U2" s="10"/>
      <c r="V2" s="5"/>
      <c r="W2" s="5"/>
      <c r="X2" s="5"/>
      <c r="Y2" s="5"/>
      <c r="Z2" s="5"/>
      <c r="AA2" s="5"/>
      <c r="AB2" s="5"/>
      <c r="AC2" s="5"/>
      <c r="AD2" s="5"/>
      <c r="AE2" s="5"/>
      <c r="AF2" s="5"/>
      <c r="AG2" s="5"/>
      <c r="AH2" s="5"/>
      <c r="AI2" s="5"/>
      <c r="AJ2" s="5"/>
      <c r="AK2" s="5"/>
      <c r="AL2" s="5"/>
      <c r="AM2" s="5"/>
      <c r="AN2" s="5"/>
      <c r="AO2" s="5"/>
      <c r="AP2" s="5"/>
      <c r="AQ2" s="5"/>
      <c r="CC2" t="s">
        <v>41</v>
      </c>
      <c r="CD2" t="s">
        <v>42</v>
      </c>
      <c r="CE2" t="s">
        <v>43</v>
      </c>
      <c r="CF2" t="s">
        <v>44</v>
      </c>
      <c r="CG2" t="s">
        <v>45</v>
      </c>
      <c r="CH2" t="s">
        <v>46</v>
      </c>
    </row>
    <row r="3" spans="1:87" ht="22" customHeight="1">
      <c r="A3" s="6" t="s">
        <v>2</v>
      </c>
      <c r="B3" s="8"/>
      <c r="C3" s="5"/>
      <c r="D3" s="5"/>
      <c r="E3" s="5"/>
      <c r="F3" s="5"/>
      <c r="G3" s="5"/>
      <c r="H3" s="5"/>
      <c r="I3" s="62"/>
      <c r="J3" s="62"/>
      <c r="K3" s="9"/>
      <c r="L3" s="9"/>
      <c r="M3" s="9"/>
      <c r="N3" s="5"/>
      <c r="O3" s="64"/>
      <c r="P3" s="64"/>
      <c r="Q3" s="10"/>
      <c r="R3" s="10"/>
      <c r="S3" s="10"/>
      <c r="T3" s="10"/>
      <c r="U3" s="10"/>
      <c r="V3" s="5"/>
      <c r="W3" s="5"/>
      <c r="X3" s="5"/>
      <c r="Y3" s="5"/>
      <c r="Z3" s="5"/>
      <c r="AA3" s="5"/>
      <c r="AB3" s="5"/>
      <c r="AC3" s="5"/>
      <c r="AD3" s="5"/>
      <c r="AE3" s="5"/>
      <c r="AF3" s="5"/>
      <c r="AG3" s="5"/>
      <c r="AH3" s="5"/>
      <c r="AI3" s="5"/>
      <c r="AJ3" s="5"/>
      <c r="AK3" s="5"/>
      <c r="AL3" s="5"/>
      <c r="AM3" s="5"/>
      <c r="AN3" s="5"/>
      <c r="AO3" s="5"/>
      <c r="AP3" s="5"/>
      <c r="AQ3" s="5"/>
      <c r="CC3" t="s">
        <v>47</v>
      </c>
    </row>
    <row r="4" spans="1:87" ht="34" customHeight="1">
      <c r="A4" s="6" t="s">
        <v>0</v>
      </c>
      <c r="B4" s="7"/>
      <c r="C4" s="5"/>
      <c r="D4" s="5"/>
      <c r="E4" s="5"/>
      <c r="F4" s="5"/>
      <c r="G4" s="5"/>
      <c r="H4" s="5"/>
      <c r="I4" s="11" t="s">
        <v>65</v>
      </c>
      <c r="J4" s="11" t="s">
        <v>66</v>
      </c>
      <c r="K4" s="11" t="s">
        <v>67</v>
      </c>
      <c r="L4" s="11" t="s">
        <v>68</v>
      </c>
      <c r="M4" s="11" t="s">
        <v>69</v>
      </c>
      <c r="N4" s="11" t="s">
        <v>48</v>
      </c>
      <c r="O4" s="11" t="s">
        <v>70</v>
      </c>
      <c r="P4" s="11" t="s">
        <v>71</v>
      </c>
      <c r="Q4" s="42" t="s">
        <v>72</v>
      </c>
      <c r="R4" s="11" t="s">
        <v>73</v>
      </c>
      <c r="S4" s="11" t="s">
        <v>74</v>
      </c>
      <c r="T4" s="11" t="s">
        <v>75</v>
      </c>
      <c r="U4" s="11" t="s">
        <v>76</v>
      </c>
      <c r="V4" s="11" t="s">
        <v>77</v>
      </c>
      <c r="W4" s="11" t="s">
        <v>78</v>
      </c>
      <c r="X4" s="11" t="s">
        <v>79</v>
      </c>
      <c r="Y4" s="11" t="s">
        <v>80</v>
      </c>
      <c r="Z4" s="11" t="s">
        <v>81</v>
      </c>
      <c r="AA4" s="5"/>
      <c r="AB4" s="5"/>
      <c r="AC4" s="5"/>
      <c r="AD4" s="5"/>
      <c r="AE4" s="11" t="s">
        <v>49</v>
      </c>
      <c r="AF4" s="11" t="s">
        <v>82</v>
      </c>
      <c r="AG4" s="11" t="s">
        <v>50</v>
      </c>
      <c r="AH4" s="11" t="s">
        <v>83</v>
      </c>
      <c r="AI4" s="11" t="s">
        <v>84</v>
      </c>
      <c r="AJ4" s="11" t="s">
        <v>51</v>
      </c>
      <c r="AK4" s="11" t="s">
        <v>52</v>
      </c>
      <c r="AL4" s="11" t="s">
        <v>53</v>
      </c>
      <c r="AM4" s="5"/>
      <c r="AN4" s="5"/>
      <c r="AO4" s="5"/>
      <c r="AP4" s="5"/>
      <c r="AQ4" s="5"/>
      <c r="CC4" t="s">
        <v>54</v>
      </c>
      <c r="CD4" t="s">
        <v>55</v>
      </c>
      <c r="CE4" t="s">
        <v>56</v>
      </c>
      <c r="CF4" t="s">
        <v>57</v>
      </c>
      <c r="CG4" t="s">
        <v>58</v>
      </c>
      <c r="CI4" t="s">
        <v>59</v>
      </c>
    </row>
    <row r="5" spans="1:87" ht="28" customHeight="1">
      <c r="A5" s="6" t="s">
        <v>37</v>
      </c>
      <c r="B5" s="7"/>
      <c r="C5" s="5"/>
      <c r="D5" s="5"/>
      <c r="E5" s="5"/>
      <c r="F5" s="5"/>
      <c r="G5" s="5"/>
      <c r="H5" s="5"/>
      <c r="I5" s="12">
        <f>SUMPRODUCT(--(INDEX(tblMasterData[RowID],0)&lt;&gt;""),--(UPPER(TRIM(INDEX(tblMasterData[RowStatus],0)&amp;""))&lt;&gt;"CANCELLED"),--((($B$2="")+(TRIM(INDEX(tblMasterData[Vessel],0)&amp;"")=TRIM($B$2&amp;"")))&gt;0),--((($B$3="")+(TRIM(INDEX(tblMasterData[Voyage],0)&amp;"")=TRIM($B$3&amp;"")))&gt;0),--((($B$4="")+(INDEX(tblMasterData[Week],0)=$B$4))&gt;0))</f>
        <v>19</v>
      </c>
      <c r="J5" s="12">
        <f>SUMPRODUCT(--(UPPER(TRIM(INDEX(tblMasterData[RowStatus],0)&amp;""))="CANCELLED"),--(INDEX(tblMasterData[RowID],0)&lt;&gt;""),--((($B$2="")+(TRIM(INDEX(tblMasterData[Vessel],0)&amp;"")=TRIM($B$2&amp;"")))&gt;0),--((($B$3="")+(TRIM(INDEX(tblMasterData[Voyage],0)&amp;"")=TRIM($B$3&amp;"")))&gt;0),--((($B$4="")+(INDEX(tblMasterData[Week],0)=$B$4))&gt;0))</f>
        <v>3</v>
      </c>
      <c r="K5" s="12" cm="1">
        <f t="array" ref="K5">SUMPRODUCT(IFERROR(0+INDEX(tblMasterData[Total Containers],0),0),--(INDEX(tblMasterData[RowID],0)&lt;&gt;""),--((($B$2="")+(TRIM(INDEX(tblMasterData[Vessel],0)&amp;"")=TRIM($B$2&amp;"")))&gt;0),--((($B$3="")+(TRIM(INDEX(tblMasterData[Voyage],0)&amp;"")=TRIM($B$3&amp;"")))&gt;0),--((($B$4="")+(INDEX(tblMasterData[Week],0)=$B$4))&gt;0))</f>
        <v>52</v>
      </c>
      <c r="L5" s="12" cm="1">
        <f t="array" ref="L5">SUMPRODUCT(IFERROR(0+INDEX(tblMasterData[Loaded Containers],0),0),--(INDEX(tblMasterData[RowID],0)&lt;&gt;""),--((($B$2="")+(TRIM(INDEX(tblMasterData[Vessel],0)&amp;"")=TRIM($B$2&amp;"")))&gt;0),--((($B$3="")+(TRIM(INDEX(tblMasterData[Voyage],0)&amp;"")=TRIM($B$3&amp;"")))&gt;0),--((($B$4="")+(INDEX(tblMasterData[Week],0)=$B$4))&gt;0))</f>
        <v>34</v>
      </c>
      <c r="M5" s="12" cm="1">
        <f t="array" ref="M5">SUMPRODUCT(IFERROR(0+INDEX(tblMasterData[Empty Containers],0),0),--(INDEX(tblMasterData[RowID],0)&lt;&gt;""),--((($B$2="")+(TRIM(INDEX(tblMasterData[Vessel],0)&amp;"")=TRIM($B$2&amp;"")))&gt;0),--((($B$3="")+(TRIM(INDEX(tblMasterData[Voyage],0)&amp;"")=TRIM($B$3&amp;"")))&gt;0),--((($B$4="")+(INDEX(tblMasterData[Week],0)=$B$4))&gt;0))</f>
        <v>18</v>
      </c>
      <c r="N5" s="12" cm="1">
        <f t="array" ref="N5">SUMPRODUCT(IFERROR(0+INDEX(tblMasterData[Total TEU],0),0),--(INDEX(tblMasterData[RowID],0)&lt;&gt;""),--((($B$2="")+(TRIM(INDEX(tblMasterData[Vessel],0)&amp;"")=TRIM($B$2&amp;"")))&gt;0),--((($B$3="")+(TRIM(INDEX(tblMasterData[Voyage],0)&amp;"")=TRIM($B$3&amp;"")))&gt;0),--((($B$4="")+(INDEX(tblMasterData[Week],0)=$B$4))&gt;0))</f>
        <v>69</v>
      </c>
      <c r="O5" s="12" cm="1">
        <f t="array" ref="O5">SUMPRODUCT(IFERROR(0+INDEX(tblMasterData[Loaded TEU],0),0),--(INDEX(tblMasterData[RowID],0)&lt;&gt;""),--((($B$2="")+(TRIM(INDEX(tblMasterData[Vessel],0)&amp;"")=TRIM($B$2&amp;"")))&gt;0),--((($B$3="")+(TRIM(INDEX(tblMasterData[Voyage],0)&amp;"")=TRIM($B$3&amp;"")))&gt;0),--((($B$4="")+(INDEX(tblMasterData[Week],0)=$B$4))&gt;0))</f>
        <v>42</v>
      </c>
      <c r="P5" s="12" cm="1">
        <f t="array" ref="P5">SUMPRODUCT(IFERROR(0+INDEX(tblMasterData[Empty TEU],0),0),--(INDEX(tblMasterData[RowID],0)&lt;&gt;""),--((($B$2="")+(TRIM(INDEX(tblMasterData[Vessel],0)&amp;"")=TRIM($B$2&amp;"")))&gt;0),--((($B$3="")+(TRIM(INDEX(tblMasterData[Voyage],0)&amp;"")=TRIM($B$3&amp;"")))&gt;0),--((($B$4="")+(INDEX(tblMasterData[Week],0)=$B$4))&gt;0))</f>
        <v>27</v>
      </c>
      <c r="Q5" s="12" cm="1">
        <f t="array" ref="Q5">SUMPRODUCT(IFERROR(0+INDEX(tblMasterData[Total 20ft],0),0),--(INDEX(tblMasterData[RowID],0)&lt;&gt;""),--((($B$2="")+(TRIM(INDEX(tblMasterData[Vessel],0)&amp;"")=TRIM($B$2&amp;"")))&gt;0),--((($B$3="")+(TRIM(INDEX(tblMasterData[Voyage],0)&amp;"")=TRIM($B$3&amp;"")))&gt;0),--((($B$4="")+(INDEX(tblMasterData[Week],0)=$B$4))&gt;0))</f>
        <v>31</v>
      </c>
      <c r="R5" s="12" cm="1">
        <f t="array" ref="R5">SUMPRODUCT(IFERROR(0+INDEX(tblMasterData[Loaded 20ft],0),0),--(INDEX(tblMasterData[RowID],0)&lt;&gt;""),--((($B$2="")+(TRIM(INDEX(tblMasterData[Vessel],0)&amp;"")=TRIM($B$2&amp;"")))&gt;0),--((($B$3="")+(TRIM(INDEX(tblMasterData[Voyage],0)&amp;"")=TRIM($B$3&amp;"")))&gt;0),--((($B$4="")+(INDEX(tblMasterData[Week],0)=$B$4))&gt;0))</f>
        <v>22</v>
      </c>
      <c r="S5" s="12" cm="1">
        <f t="array" ref="S5">SUMPRODUCT(IFERROR(0+INDEX(tblMasterData[Empty 20ft],0),0),--(INDEX(tblMasterData[RowID],0)&lt;&gt;""),--((($B$2="")+(TRIM(INDEX(tblMasterData[Vessel],0)&amp;"")=TRIM($B$2&amp;"")))&gt;0),--((($B$3="")+(TRIM(INDEX(tblMasterData[Voyage],0)&amp;"")=TRIM($B$3&amp;"")))&gt;0),--((($B$4="")+(INDEX(tblMasterData[Week],0)=$B$4))&gt;0))</f>
        <v>9</v>
      </c>
      <c r="T5" s="12" cm="1">
        <f t="array" ref="T5">SUMPRODUCT(IFERROR(0+INDEX(tblMasterData[Total 40ft],0),0),--(INDEX(tblMasterData[RowID],0)&lt;&gt;""),--((($B$2="")+(TRIM(INDEX(tblMasterData[Vessel],0)&amp;"")=TRIM($B$2&amp;"")))&gt;0),--((($B$3="")+(TRIM(INDEX(tblMasterData[Voyage],0)&amp;"")=TRIM($B$3&amp;"")))&gt;0),--((($B$4="")+(INDEX(tblMasterData[Week],0)=$B$4))&gt;0))</f>
        <v>19</v>
      </c>
      <c r="U5" s="12" cm="1">
        <f t="array" ref="U5">SUMPRODUCT(IFERROR(0+INDEX(tblMasterData[Loaded 40ft],0),0),--(INDEX(tblMasterData[RowID],0)&lt;&gt;""),--((($B$2="")+(TRIM(INDEX(tblMasterData[Vessel],0)&amp;"")=TRIM($B$2&amp;"")))&gt;0),--((($B$3="")+(TRIM(INDEX(tblMasterData[Voyage],0)&amp;"")=TRIM($B$3&amp;"")))&gt;0),--((($B$4="")+(INDEX(tblMasterData[Week],0)=$B$4))&gt;0))</f>
        <v>10</v>
      </c>
      <c r="V5" s="12" cm="1">
        <f t="array" ref="V5">SUMPRODUCT(IFERROR(0+INDEX(tblMasterData[Empty 40ft],0),0),--(INDEX(tblMasterData[RowID],0)&lt;&gt;""),--((($B$2="")+(TRIM(INDEX(tblMasterData[Vessel],0)&amp;"")=TRIM($B$2&amp;"")))&gt;0),--((($B$3="")+(TRIM(INDEX(tblMasterData[Voyage],0)&amp;"")=TRIM($B$3&amp;"")))&gt;0),--((($B$4="")+(INDEX(tblMasterData[Week],0)=$B$4))&gt;0))</f>
        <v>9</v>
      </c>
      <c r="W5" s="12" cm="1">
        <f t="array" ref="W5">SUMPRODUCT(IFERROR(0+INDEX(tblMasterData[Total GWT],0),0),--(INDEX(tblMasterData[RowID],0)&lt;&gt;""),--((($B$2="")+(TRIM(INDEX(tblMasterData[Vessel],0)&amp;"")=TRIM($B$2&amp;"")))&gt;0),--((($B$3="")+(TRIM(INDEX(tblMasterData[Voyage],0)&amp;"")=TRIM($B$3&amp;"")))&gt;0),--((($B$4="")+(INDEX(tblMasterData[Week],0)=$B$4))&gt;0))</f>
        <v>768000</v>
      </c>
      <c r="X5" s="12" cm="1">
        <f t="array" ref="X5">SUMPRODUCT(IFERROR(0+INDEX(tblMasterData[Loaded GWT],0),0),--(INDEX(tblMasterData[RowID],0)&lt;&gt;""),--((($B$2="")+(TRIM(INDEX(tblMasterData[Vessel],0)&amp;"")=TRIM($B$2&amp;"")))&gt;0),--((($B$3="")+(TRIM(INDEX(tblMasterData[Voyage],0)&amp;"")=TRIM($B$3&amp;"")))&gt;0),--((($B$4="")+(INDEX(tblMasterData[Week],0)=$B$4))&gt;0))</f>
        <v>608000</v>
      </c>
      <c r="Y5" s="12" cm="1">
        <f t="array" ref="Y5">SUMPRODUCT(IFERROR(0+INDEX(tblMasterData[Empty GWT],0),0),--(INDEX(tblMasterData[RowID],0)&lt;&gt;""),--((($B$2="")+(TRIM(INDEX(tblMasterData[Vessel],0)&amp;"")=TRIM($B$2&amp;"")))&gt;0),--((($B$3="")+(TRIM(INDEX(tblMasterData[Voyage],0)&amp;"")=TRIM($B$3&amp;"")))&gt;0),--((($B$4="")+(INDEX(tblMasterData[Week],0)=$B$4))&gt;0))</f>
        <v>160000</v>
      </c>
      <c r="Z5" s="12" cm="1">
        <f t="array" ref="Z5">SUMPRODUCT(IFERROR(0+INDEX(tblMasterData[Total Containers],0),0),--(INDEX(tblMasterData[RowID],0)&lt;&gt;""),--((($B$2="")+(TRIM(INDEX(tblMasterData[Vessel],0)&amp;"")=TRIM($B$2&amp;"")))&gt;0),--((($B$3="")+(TRIM(INDEX(tblMasterData[Voyage],0)&amp;"")=TRIM($B$3&amp;"")))&gt;0),--((($B$4="")+(INDEX(tblMasterData[Week],0)=$B$4))&gt;0),--(IFERROR(0+TRIM(INDEX(tblMasterData[SIZE],0)&amp;""),0)&lt;&gt;2),--(IFERROR(0+TRIM(INDEX(tblMasterData[SIZE],0)&amp;""),0)&lt;&gt;4))</f>
        <v>2</v>
      </c>
      <c r="AA5" s="5"/>
      <c r="AB5" s="5"/>
      <c r="AC5" s="5"/>
      <c r="AD5" s="5"/>
      <c r="AE5" s="12">
        <f>SUMPRODUCT(--(INDEX(tblHistory[Timestamp],0)&lt;&gt;""),--((($B$2="")+(TRIM(INDEX(tblHistory[Vessel],0)&amp;"")=TRIM($B$2&amp;"")))&gt;0),--((($B$3="")+(TRIM(INDEX(tblHistory[Voyage],0)&amp;"")=TRIM($B$3&amp;"")))&gt;0),--((($B$4="")+(INDEX(tblHistory[Week],0)=$B$4))&gt;0),--((($B$5="")+(INDEX(tblHistory[Month],0)=$B$5))&gt;0),--((($B$6="")+(INDEX(tblHistory[Year],0)=$B$6))&gt;0))</f>
        <v>35</v>
      </c>
      <c r="AF5" s="12">
        <f>SUMPRODUCT(--(INDEX(tblHistory[Field],0)="Week"),--(INDEX(tblHistory[Timestamp],0)&lt;&gt;""),--((($B$2="")+(TRIM(INDEX(tblHistory[Vessel],0)&amp;"")=TRIM($B$2&amp;"")))&gt;0),--((($B$3="")+(TRIM(INDEX(tblHistory[Voyage],0)&amp;"")=TRIM($B$3&amp;"")))&gt;0),--((($B$4="")+(INDEX(tblHistory[Week],0)=$B$4))&gt;0),--((($B$5="")+(INDEX(tblHistory[Month],0)=$B$5))&gt;0),--((($B$6="")+(INDEX(tblHistory[Year],0)=$B$6))&gt;0))</f>
        <v>1</v>
      </c>
      <c r="AG5" s="12">
        <f>SUMPRODUCT(--(INDEX(tblHistory[Field],0)="ETA"),--(INDEX(tblHistory[Timestamp],0)&lt;&gt;""),--((($B$2="")+(TRIM(INDEX(tblHistory[Vessel],0)&amp;"")=TRIM($B$2&amp;"")))&gt;0),--((($B$3="")+(TRIM(INDEX(tblHistory[Voyage],0)&amp;"")=TRIM($B$3&amp;"")))&gt;0),--((($B$4="")+(INDEX(tblHistory[Week],0)=$B$4))&gt;0),--((($B$5="")+(INDEX(tblHistory[Month],0)=$B$5))&gt;0),--((($B$6="")+(INDEX(tblHistory[Year],0)=$B$6))&gt;0))</f>
        <v>6</v>
      </c>
      <c r="AH5" s="12">
        <f>SUMPRODUCT(--(INDEX(tblHistory[Field],0)="ETD"),--(INDEX(tblHistory[Timestamp],0)&lt;&gt;""),--((($B$2="")+(TRIM(INDEX(tblHistory[Vessel],0)&amp;"")=TRIM($B$2&amp;"")))&gt;0),--((($B$3="")+(TRIM(INDEX(tblHistory[Voyage],0)&amp;"")=TRIM($B$3&amp;"")))&gt;0),--((($B$4="")+(INDEX(tblHistory[Week],0)=$B$4))&gt;0),--((($B$5="")+(INDEX(tblHistory[Month],0)=$B$5))&gt;0),--((($B$6="")+(INDEX(tblHistory[Year],0)=$B$6))&gt;0))</f>
        <v>1</v>
      </c>
      <c r="AI5" s="12">
        <f>SUMPRODUCT(--(INDEX(tblHistory[Field],0)="Cut-Off"),--(INDEX(tblHistory[Timestamp],0)&lt;&gt;""),--((($B$2="")+(TRIM(INDEX(tblHistory[Vessel],0)&amp;"")=TRIM($B$2&amp;"")))&gt;0),--((($B$3="")+(TRIM(INDEX(tblHistory[Voyage],0)&amp;"")=TRIM($B$3&amp;"")))&gt;0),--((($B$4="")+(INDEX(tblHistory[Week],0)=$B$4))&gt;0),--((($B$5="")+(INDEX(tblHistory[Month],0)=$B$5))&gt;0),--((($B$6="")+(INDEX(tblHistory[Year],0)=$B$6))&gt;0))</f>
        <v>2</v>
      </c>
      <c r="AJ5" s="12">
        <f>SUMPRODUCT(--(INDEX(tblHistory[Field],0)="Vessel"),--(INDEX(tblHistory[Timestamp],0)&lt;&gt;""),--((($B$2="")+(TRIM(INDEX(tblHistory[Vessel],0)&amp;"")=TRIM($B$2&amp;"")))&gt;0),--((($B$3="")+(TRIM(INDEX(tblHistory[Voyage],0)&amp;"")=TRIM($B$3&amp;"")))&gt;0),--((($B$4="")+(INDEX(tblHistory[Week],0)=$B$4))&gt;0),--((($B$5="")+(INDEX(tblHistory[Month],0)=$B$5))&gt;0),--((($B$6="")+(INDEX(tblHistory[Year],0)=$B$6))&gt;0))</f>
        <v>1</v>
      </c>
      <c r="AK5" s="12">
        <f>SUMPRODUCT(--(INDEX(tblHistory[Field],0)="Voyage"),--(INDEX(tblHistory[Timestamp],0)&lt;&gt;""),--((($B$2="")+(TRIM(INDEX(tblHistory[Vessel],0)&amp;"")=TRIM($B$2&amp;"")))&gt;0),--((($B$3="")+(TRIM(INDEX(tblHistory[Voyage],0)&amp;"")=TRIM($B$3&amp;"")))&gt;0),--((($B$4="")+(INDEX(tblHistory[Week],0)=$B$4))&gt;0),--((($B$5="")+(INDEX(tblHistory[Month],0)=$B$5))&gt;0),--((($B$6="")+(INDEX(tblHistory[Year],0)=$B$6))&gt;0))</f>
        <v>1</v>
      </c>
      <c r="AL5" s="12">
        <f>SUMPRODUCT(--(INDEX(tblHistory[Field],0)="ETA T/S"),--(INDEX(tblHistory[Timestamp],0)&lt;&gt;""),--((($B$2="")+(TRIM(INDEX(tblHistory[Vessel],0)&amp;"")=TRIM($B$2&amp;"")))&gt;0),--((($B$3="")+(TRIM(INDEX(tblHistory[Voyage],0)&amp;"")=TRIM($B$3&amp;"")))&gt;0),--((($B$4="")+(INDEX(tblHistory[Week],0)=$B$4))&gt;0),--((($B$5="")+(INDEX(tblHistory[Month],0)=$B$5))&gt;0),--((($B$6="")+(INDEX(tblHistory[Year],0)=$B$6))&gt;0))</f>
        <v>1</v>
      </c>
      <c r="AM5" s="5"/>
      <c r="AN5" s="5"/>
      <c r="AO5" s="5"/>
      <c r="AP5" s="5"/>
      <c r="AQ5" s="5"/>
      <c r="CC5" t="str" cm="1">
        <f t="array" ref="CC5:CC7">IFERROR(_xlfn._xlws.SORT(_xlfn.UNIQUE(_xlfn._xlws.FILTER(TRIM(tblMasterData[Vessel]&amp;""),(tblMasterData[RowID]&lt;&gt;"")*(TRIM(tblMasterData[Vessel]&amp;"")&lt;&gt;"")))),"")</f>
        <v>MV Aurora Demo</v>
      </c>
      <c r="CD5" cm="1">
        <f t="array" ref="CD5:CD7">IFERROR(_xlfn._xlws.SORT(_xlfn.UNIQUE(_xlfn._xlws.FILTER(tblMasterData[Week],(tblMasterData[RowID]&lt;&gt;"")*(tblMasterData[Week]&lt;&gt;"")))),"")</f>
        <v>36</v>
      </c>
      <c r="CE5" t="e" cm="1" vm="1">
        <f t="array" aca="1" ref="CE5" ca="1">IFERROR(_xlfn._xlws.SORT(_xlfn.UNIQUE(_xlfn._xlws.FILTER(tblHistory[Month],(tblHistory[Timestamp]&lt;&gt;"")*(tblHistory[Month]&lt;&gt;"")))),"")</f>
        <v>#VALUE!</v>
      </c>
      <c r="CF5" cm="1">
        <f t="array" ref="CF5">IFERROR(_xlfn._xlws.SORT(_xlfn.UNIQUE(_xlfn._xlws.FILTER(tblHistory[Year],(tblHistory[Timestamp]&lt;&gt;"")*(tblHistory[Year]&lt;&gt;"")))),"")</f>
        <v>2026</v>
      </c>
      <c r="CG5" t="str" cm="1">
        <f t="array" ref="CG5:CG13">IFERROR(_xlfn._xlws.SORT(_xlfn.UNIQUE(_xlfn._xlws.FILTER(TRIM(tblMasterData[Voyage]&amp;""),(tblMasterData[RowID]&lt;&gt;"")*(TRIM(tblMasterData[Voyage]&amp;"")&lt;&gt;"")*IF($B$2="",1,TRIM(tblMasterData[Vessel]&amp;"")=TRIM($B$2&amp;""))))),"")</f>
        <v>AD361</v>
      </c>
      <c r="CI5" t="str" cm="1">
        <f t="array" ref="CI5:CI13">IFERROR(_xlfn._xlws.SORT(_xlfn.UNIQUE(_xlfn._xlws.FILTER(TRIM(tblMasterData[Voyage]&amp;""),(tblMasterData[RowID]&lt;&gt;"")*(TRIM(tblMasterData[Voyage]&amp;"")&lt;&gt;"")))),"")</f>
        <v>AD361</v>
      </c>
    </row>
    <row r="6" spans="1:87" ht="22" customHeight="1">
      <c r="A6" s="6" t="s">
        <v>36</v>
      </c>
      <c r="B6" s="7"/>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CC6" t="str">
        <v>MV Baltic Comet Demo</v>
      </c>
      <c r="CD6">
        <v>37</v>
      </c>
      <c r="CE6">
        <v>4</v>
      </c>
      <c r="CF6">
        <v>2026</v>
      </c>
      <c r="CG6" t="str">
        <v>AD371</v>
      </c>
      <c r="CI6" t="str">
        <v>AD371</v>
      </c>
    </row>
    <row r="7" spans="1:87" ht="30">
      <c r="A7" s="5"/>
      <c r="B7" s="5"/>
      <c r="C7" s="5"/>
      <c r="D7" s="5"/>
      <c r="E7" s="5"/>
      <c r="F7" s="5"/>
      <c r="G7" s="5"/>
      <c r="H7" s="5"/>
      <c r="I7" s="11" t="s">
        <v>85</v>
      </c>
      <c r="J7" s="11" t="s">
        <v>1</v>
      </c>
      <c r="K7" s="11" t="s">
        <v>2</v>
      </c>
      <c r="L7" s="11" t="s">
        <v>0</v>
      </c>
      <c r="M7" s="11" t="s">
        <v>16</v>
      </c>
      <c r="N7" s="11" t="s">
        <v>19</v>
      </c>
      <c r="O7" s="11" t="s">
        <v>86</v>
      </c>
      <c r="P7" s="11" t="s">
        <v>87</v>
      </c>
      <c r="Q7" s="42" t="s">
        <v>88</v>
      </c>
      <c r="R7" s="11" t="s">
        <v>70</v>
      </c>
      <c r="S7" s="11" t="s">
        <v>71</v>
      </c>
      <c r="T7" s="11" t="s">
        <v>48</v>
      </c>
      <c r="U7" s="11" t="s">
        <v>79</v>
      </c>
      <c r="V7" s="11" t="s">
        <v>80</v>
      </c>
      <c r="W7" s="11" t="s">
        <v>78</v>
      </c>
      <c r="X7" s="11" t="s">
        <v>73</v>
      </c>
      <c r="Y7" s="11" t="s">
        <v>74</v>
      </c>
      <c r="Z7" s="11" t="s">
        <v>72</v>
      </c>
      <c r="AA7" s="11" t="s">
        <v>76</v>
      </c>
      <c r="AB7" s="11" t="s">
        <v>77</v>
      </c>
      <c r="AC7" s="11" t="s">
        <v>75</v>
      </c>
      <c r="AD7" s="58"/>
      <c r="AE7" s="58"/>
      <c r="AF7" s="58"/>
      <c r="AG7" s="58"/>
      <c r="AH7" s="5"/>
      <c r="AI7" s="5"/>
      <c r="AJ7" s="5"/>
      <c r="AK7" s="5"/>
      <c r="AL7" s="5"/>
      <c r="AM7" s="5"/>
      <c r="AN7" s="5"/>
      <c r="AO7" s="5"/>
      <c r="AP7" s="5"/>
      <c r="AQ7" s="5"/>
      <c r="CC7" t="str">
        <v>MV Northstar Demo</v>
      </c>
      <c r="CD7">
        <v>38</v>
      </c>
      <c r="CG7" t="str">
        <v>AD381</v>
      </c>
      <c r="CI7" t="str">
        <v>AD381</v>
      </c>
    </row>
    <row r="8" spans="1:87" ht="20">
      <c r="A8" s="5"/>
      <c r="B8" s="5"/>
      <c r="C8" s="5"/>
      <c r="D8" s="5"/>
      <c r="E8" s="5"/>
      <c r="F8" s="5"/>
      <c r="G8" s="5"/>
      <c r="H8" s="5"/>
      <c r="I8" s="12" t="str">
        <f>"Selected filters"</f>
        <v>Selected filters</v>
      </c>
      <c r="J8" s="12" t="str">
        <f>IF($B$2&lt;&gt;"",$B$2,"All")</f>
        <v>All</v>
      </c>
      <c r="K8" s="12" t="str">
        <f>IF($B$3&lt;&gt;"",$B$3,"All")</f>
        <v>All</v>
      </c>
      <c r="L8" s="12" t="str">
        <f>IF($B$4&lt;&gt;"",$B$4,"All")</f>
        <v>All</v>
      </c>
      <c r="M8" s="12" t="str" cm="1">
        <f t="array" ref="M8">IFERROR(INDEX(tblMasterData[POL],MATCH(1,(INDEX(tblMasterData[RowID],0)&lt;&gt;"")*IF($B$2="",1,TRIM(INDEX(tblMasterData[Vessel],0)&amp;"")=TRIM($B$2&amp;""))*IF($B$3="",1,TRIM(INDEX(tblMasterData[Voyage],0)&amp;"")=TRIM($B$3&amp;""))*IF($B$4="",1,INDEX(tblMasterData[Week],0)=$B$4)*(INDEX(tblMasterData[POL],0)&lt;&gt;""),0)),"")</f>
        <v>Demoport East</v>
      </c>
      <c r="N8" s="12" t="str" cm="1">
        <f t="array" ref="N8">IFERROR(INDEX(tblMasterData[POD],MATCH(1,(INDEX(tblMasterData[RowID],0)&lt;&gt;"")*IF($B$2="",1,TRIM(INDEX(tblMasterData[Vessel],0)&amp;"")=TRIM($B$2&amp;""))*IF($B$3="",1,TRIM(INDEX(tblMasterData[Voyage],0)&amp;"")=TRIM($B$3&amp;""))*IF($B$4="",1,INDEX(tblMasterData[Week],0)=$B$4)*(INDEX(tblMasterData[POD],0)&lt;&gt;""),0)),"")</f>
        <v>Demoport West</v>
      </c>
      <c r="O8" s="12" cm="1">
        <f t="array" ref="O8">SUMPRODUCT(IFERROR(0+INDEX(tblMasterData[Loaded Containers],0),0),--(INDEX(tblMasterData[RowID],0)&lt;&gt;""),--((($B$2="")+(TRIM(INDEX(tblMasterData[Vessel],0)&amp;"")=TRIM($B$2&amp;"")))&gt;0),--((($B$3="")+(TRIM(INDEX(tblMasterData[Voyage],0)&amp;"")=TRIM($B$3&amp;"")))&gt;0),--((($B$4="")+(INDEX(tblMasterData[Week],0)=$B$4))&gt;0))</f>
        <v>34</v>
      </c>
      <c r="P8" s="12" cm="1">
        <f t="array" ref="P8">SUMPRODUCT(IFERROR(0+INDEX(tblMasterData[Empty Containers],0),0),--(INDEX(tblMasterData[RowID],0)&lt;&gt;""),--((($B$2="")+(TRIM(INDEX(tblMasterData[Vessel],0)&amp;"")=TRIM($B$2&amp;"")))&gt;0),--((($B$3="")+(TRIM(INDEX(tblMasterData[Voyage],0)&amp;"")=TRIM($B$3&amp;"")))&gt;0),--((($B$4="")+(INDEX(tblMasterData[Week],0)=$B$4))&gt;0))</f>
        <v>18</v>
      </c>
      <c r="Q8" s="12" cm="1">
        <f t="array" ref="Q8">SUMPRODUCT(IFERROR(0+INDEX(tblMasterData[Total Containers],0),0),--(INDEX(tblMasterData[RowID],0)&lt;&gt;""),--((($B$2="")+(TRIM(INDEX(tblMasterData[Vessel],0)&amp;"")=TRIM($B$2&amp;"")))&gt;0),--((($B$3="")+(TRIM(INDEX(tblMasterData[Voyage],0)&amp;"")=TRIM($B$3&amp;"")))&gt;0),--((($B$4="")+(INDEX(tblMasterData[Week],0)=$B$4))&gt;0))</f>
        <v>52</v>
      </c>
      <c r="R8" s="12" cm="1">
        <f t="array" ref="R8">SUMPRODUCT(IFERROR(0+INDEX(tblMasterData[Loaded TEU],0),0),--(INDEX(tblMasterData[RowID],0)&lt;&gt;""),--((($B$2="")+(TRIM(INDEX(tblMasterData[Vessel],0)&amp;"")=TRIM($B$2&amp;"")))&gt;0),--((($B$3="")+(TRIM(INDEX(tblMasterData[Voyage],0)&amp;"")=TRIM($B$3&amp;"")))&gt;0),--((($B$4="")+(INDEX(tblMasterData[Week],0)=$B$4))&gt;0))</f>
        <v>42</v>
      </c>
      <c r="S8" s="12" cm="1">
        <f t="array" ref="S8">SUMPRODUCT(IFERROR(0+INDEX(tblMasterData[Empty TEU],0),0),--(INDEX(tblMasterData[RowID],0)&lt;&gt;""),--((($B$2="")+(TRIM(INDEX(tblMasterData[Vessel],0)&amp;"")=TRIM($B$2&amp;"")))&gt;0),--((($B$3="")+(TRIM(INDEX(tblMasterData[Voyage],0)&amp;"")=TRIM($B$3&amp;"")))&gt;0),--((($B$4="")+(INDEX(tblMasterData[Week],0)=$B$4))&gt;0))</f>
        <v>27</v>
      </c>
      <c r="T8" s="12" cm="1">
        <f t="array" ref="T8">SUMPRODUCT(IFERROR(0+INDEX(tblMasterData[Total TEU],0),0),--(INDEX(tblMasterData[RowID],0)&lt;&gt;""),--((($B$2="")+(TRIM(INDEX(tblMasterData[Vessel],0)&amp;"")=TRIM($B$2&amp;"")))&gt;0),--((($B$3="")+(TRIM(INDEX(tblMasterData[Voyage],0)&amp;"")=TRIM($B$3&amp;"")))&gt;0),--((($B$4="")+(INDEX(tblMasterData[Week],0)=$B$4))&gt;0))</f>
        <v>69</v>
      </c>
      <c r="U8" s="12" cm="1">
        <f t="array" ref="U8">SUMPRODUCT(IFERROR(0+INDEX(tblMasterData[Loaded GWT],0),0),--(INDEX(tblMasterData[RowID],0)&lt;&gt;""),--((($B$2="")+(TRIM(INDEX(tblMasterData[Vessel],0)&amp;"")=TRIM($B$2&amp;"")))&gt;0),--((($B$3="")+(TRIM(INDEX(tblMasterData[Voyage],0)&amp;"")=TRIM($B$3&amp;"")))&gt;0),--((($B$4="")+(INDEX(tblMasterData[Week],0)=$B$4))&gt;0))</f>
        <v>608000</v>
      </c>
      <c r="V8" s="12" cm="1">
        <f t="array" ref="V8">SUMPRODUCT(IFERROR(0+INDEX(tblMasterData[Empty GWT],0),0),--(INDEX(tblMasterData[RowID],0)&lt;&gt;""),--((($B$2="")+(TRIM(INDEX(tblMasterData[Vessel],0)&amp;"")=TRIM($B$2&amp;"")))&gt;0),--((($B$3="")+(TRIM(INDEX(tblMasterData[Voyage],0)&amp;"")=TRIM($B$3&amp;"")))&gt;0),--((($B$4="")+(INDEX(tblMasterData[Week],0)=$B$4))&gt;0))</f>
        <v>160000</v>
      </c>
      <c r="W8" s="12" cm="1">
        <f t="array" ref="W8">SUMPRODUCT(IFERROR(0+INDEX(tblMasterData[Total GWT],0),0),--(INDEX(tblMasterData[RowID],0)&lt;&gt;""),--((($B$2="")+(TRIM(INDEX(tblMasterData[Vessel],0)&amp;"")=TRIM($B$2&amp;"")))&gt;0),--((($B$3="")+(TRIM(INDEX(tblMasterData[Voyage],0)&amp;"")=TRIM($B$3&amp;"")))&gt;0),--((($B$4="")+(INDEX(tblMasterData[Week],0)=$B$4))&gt;0))</f>
        <v>768000</v>
      </c>
      <c r="X8" s="12" cm="1">
        <f t="array" ref="X8">SUMPRODUCT(IFERROR(0+INDEX(tblMasterData[Loaded 20ft],0),0),--(INDEX(tblMasterData[RowID],0)&lt;&gt;""),--((($B$2="")+(TRIM(INDEX(tblMasterData[Vessel],0)&amp;"")=TRIM($B$2&amp;"")))&gt;0),--((($B$3="")+(TRIM(INDEX(tblMasterData[Voyage],0)&amp;"")=TRIM($B$3&amp;"")))&gt;0),--((($B$4="")+(INDEX(tblMasterData[Week],0)=$B$4))&gt;0))</f>
        <v>22</v>
      </c>
      <c r="Y8" s="12" cm="1">
        <f t="array" ref="Y8">SUMPRODUCT(IFERROR(0+INDEX(tblMasterData[Empty 20ft],0),0),--(INDEX(tblMasterData[RowID],0)&lt;&gt;""),--((($B$2="")+(TRIM(INDEX(tblMasterData[Vessel],0)&amp;"")=TRIM($B$2&amp;"")))&gt;0),--((($B$3="")+(TRIM(INDEX(tblMasterData[Voyage],0)&amp;"")=TRIM($B$3&amp;"")))&gt;0),--((($B$4="")+(INDEX(tblMasterData[Week],0)=$B$4))&gt;0))</f>
        <v>9</v>
      </c>
      <c r="Z8" s="12" cm="1">
        <f t="array" ref="Z8">SUMPRODUCT(IFERROR(0+INDEX(tblMasterData[Total 20ft],0),0),--(INDEX(tblMasterData[RowID],0)&lt;&gt;""),--((($B$2="")+(TRIM(INDEX(tblMasterData[Vessel],0)&amp;"")=TRIM($B$2&amp;"")))&gt;0),--((($B$3="")+(TRIM(INDEX(tblMasterData[Voyage],0)&amp;"")=TRIM($B$3&amp;"")))&gt;0),--((($B$4="")+(INDEX(tblMasterData[Week],0)=$B$4))&gt;0))</f>
        <v>31</v>
      </c>
      <c r="AA8" s="12" cm="1">
        <f t="array" ref="AA8">SUMPRODUCT(IFERROR(0+INDEX(tblMasterData[Loaded 40ft],0),0),--(INDEX(tblMasterData[RowID],0)&lt;&gt;""),--((($B$2="")+(TRIM(INDEX(tblMasterData[Vessel],0)&amp;"")=TRIM($B$2&amp;"")))&gt;0),--((($B$3="")+(TRIM(INDEX(tblMasterData[Voyage],0)&amp;"")=TRIM($B$3&amp;"")))&gt;0),--((($B$4="")+(INDEX(tblMasterData[Week],0)=$B$4))&gt;0))</f>
        <v>10</v>
      </c>
      <c r="AB8" s="12" cm="1">
        <f t="array" ref="AB8">SUMPRODUCT(IFERROR(0+INDEX(tblMasterData[Empty 40ft],0),0),--(INDEX(tblMasterData[RowID],0)&lt;&gt;""),--((($B$2="")+(TRIM(INDEX(tblMasterData[Vessel],0)&amp;"")=TRIM($B$2&amp;"")))&gt;0),--((($B$3="")+(TRIM(INDEX(tblMasterData[Voyage],0)&amp;"")=TRIM($B$3&amp;"")))&gt;0),--((($B$4="")+(INDEX(tblMasterData[Week],0)=$B$4))&gt;0))</f>
        <v>9</v>
      </c>
      <c r="AC8" s="12" cm="1">
        <f t="array" ref="AC8">SUMPRODUCT(IFERROR(0+INDEX(tblMasterData[Total 40ft],0),0),--(INDEX(tblMasterData[RowID],0)&lt;&gt;""),--((($B$2="")+(TRIM(INDEX(tblMasterData[Vessel],0)&amp;"")=TRIM($B$2&amp;"")))&gt;0),--((($B$3="")+(TRIM(INDEX(tblMasterData[Voyage],0)&amp;"")=TRIM($B$3&amp;"")))&gt;0),--((($B$4="")+(INDEX(tblMasterData[Week],0)=$B$4))&gt;0))</f>
        <v>19</v>
      </c>
      <c r="AD8" s="5"/>
      <c r="AE8" s="5"/>
      <c r="AF8" s="5"/>
      <c r="AG8" s="5"/>
      <c r="AH8" s="5"/>
      <c r="AI8" s="5"/>
      <c r="AJ8" s="5"/>
      <c r="AK8" s="5"/>
      <c r="AL8" s="5"/>
      <c r="AM8" s="5"/>
      <c r="AN8" s="5"/>
      <c r="AO8" s="5"/>
      <c r="AP8" s="5"/>
      <c r="AQ8" s="5"/>
      <c r="CG8" t="str">
        <v>BC361</v>
      </c>
      <c r="CI8" t="str">
        <v>BC361</v>
      </c>
    </row>
    <row r="9" spans="1:87" ht="20" customHeight="1">
      <c r="A9" s="5"/>
      <c r="B9" s="60" t="s">
        <v>60</v>
      </c>
      <c r="C9" s="60"/>
      <c r="D9" s="60"/>
      <c r="E9" s="13"/>
      <c r="F9" s="13"/>
      <c r="G9" s="13"/>
      <c r="H9" s="13"/>
      <c r="I9" s="13"/>
      <c r="J9" s="13"/>
      <c r="K9" s="13"/>
      <c r="L9" s="13"/>
      <c r="M9" s="13"/>
      <c r="N9" s="13"/>
      <c r="O9" s="13"/>
      <c r="P9" s="13"/>
      <c r="Q9" s="13"/>
      <c r="R9" s="13"/>
      <c r="S9" s="13"/>
      <c r="T9" s="13"/>
      <c r="U9" s="13"/>
      <c r="V9" s="13"/>
      <c r="W9" s="13"/>
      <c r="X9" s="13"/>
      <c r="Y9" s="13"/>
      <c r="Z9" s="13"/>
      <c r="AA9" s="13"/>
      <c r="AB9" s="13"/>
      <c r="AC9" s="5"/>
      <c r="AD9" s="5"/>
      <c r="AE9" s="65" t="s">
        <v>61</v>
      </c>
      <c r="AF9" s="65"/>
      <c r="AG9" s="14"/>
      <c r="AH9" s="14"/>
      <c r="AI9" s="14"/>
      <c r="AJ9" s="14"/>
      <c r="AK9" s="14"/>
      <c r="AL9" s="14"/>
      <c r="AM9" s="14"/>
      <c r="AN9" s="14"/>
      <c r="AO9" s="14"/>
      <c r="AP9" s="14"/>
      <c r="AQ9" s="14"/>
      <c r="CG9" t="str">
        <v>BC371</v>
      </c>
      <c r="CI9" t="str">
        <v>BC371</v>
      </c>
    </row>
    <row r="10" spans="1:87" ht="20" customHeight="1">
      <c r="A10" s="5"/>
      <c r="B10" s="60"/>
      <c r="C10" s="60"/>
      <c r="D10" s="60"/>
      <c r="E10" s="13"/>
      <c r="F10" s="13"/>
      <c r="G10" s="13"/>
      <c r="H10" s="13"/>
      <c r="I10" s="13"/>
      <c r="J10" s="13"/>
      <c r="K10" s="13"/>
      <c r="L10" s="13"/>
      <c r="M10" s="13"/>
      <c r="N10" s="13"/>
      <c r="O10" s="13"/>
      <c r="P10" s="13"/>
      <c r="Q10" s="13"/>
      <c r="R10" s="13"/>
      <c r="S10" s="13"/>
      <c r="T10" s="13"/>
      <c r="U10" s="13"/>
      <c r="V10" s="13"/>
      <c r="W10" s="13"/>
      <c r="X10" s="13"/>
      <c r="Y10" s="13"/>
      <c r="Z10" s="13"/>
      <c r="AA10" s="13"/>
      <c r="AB10" s="13"/>
      <c r="AC10" s="5"/>
      <c r="AD10" s="5"/>
      <c r="AE10" s="66"/>
      <c r="AF10" s="66"/>
      <c r="AG10" s="14"/>
      <c r="AH10" s="14"/>
      <c r="AI10" s="14"/>
      <c r="AJ10" s="14"/>
      <c r="AK10" s="14"/>
      <c r="AL10" s="14"/>
      <c r="AM10" s="14"/>
      <c r="AN10" s="14"/>
      <c r="AO10" s="14"/>
      <c r="AP10" s="14"/>
      <c r="AQ10" s="14"/>
      <c r="CG10" t="str">
        <v>BC381</v>
      </c>
      <c r="CI10" t="str">
        <v>BC381</v>
      </c>
    </row>
    <row r="11" spans="1:87" ht="34" customHeight="1">
      <c r="A11" s="5"/>
      <c r="B11" s="15" t="s">
        <v>0</v>
      </c>
      <c r="C11" s="15" t="s">
        <v>1</v>
      </c>
      <c r="D11" s="15" t="s">
        <v>2</v>
      </c>
      <c r="E11" s="15" t="s">
        <v>3</v>
      </c>
      <c r="F11" s="15" t="s">
        <v>4</v>
      </c>
      <c r="G11" s="15" t="s">
        <v>62</v>
      </c>
      <c r="H11" s="15" t="s">
        <v>6</v>
      </c>
      <c r="I11" s="15" t="s">
        <v>63</v>
      </c>
      <c r="J11" s="15" t="s">
        <v>8</v>
      </c>
      <c r="K11" s="15" t="s">
        <v>9</v>
      </c>
      <c r="L11" s="15" t="s">
        <v>10</v>
      </c>
      <c r="M11" s="15" t="s">
        <v>11</v>
      </c>
      <c r="N11" s="15" t="s">
        <v>12</v>
      </c>
      <c r="O11" s="15" t="s">
        <v>13</v>
      </c>
      <c r="P11" s="15" t="s">
        <v>14</v>
      </c>
      <c r="Q11" s="43" t="s">
        <v>15</v>
      </c>
      <c r="R11" s="15" t="s">
        <v>16</v>
      </c>
      <c r="S11" s="15" t="s">
        <v>17</v>
      </c>
      <c r="T11" s="15" t="s">
        <v>18</v>
      </c>
      <c r="U11" s="15" t="s">
        <v>19</v>
      </c>
      <c r="V11" s="15" t="s">
        <v>20</v>
      </c>
      <c r="W11" s="15" t="s">
        <v>21</v>
      </c>
      <c r="X11" s="15" t="s">
        <v>22</v>
      </c>
      <c r="Y11" s="15" t="s">
        <v>23</v>
      </c>
      <c r="Z11" s="15" t="s">
        <v>24</v>
      </c>
      <c r="AA11" s="15" t="s">
        <v>25</v>
      </c>
      <c r="AB11" s="15" t="s">
        <v>26</v>
      </c>
      <c r="AC11" s="15" t="s">
        <v>89</v>
      </c>
      <c r="AD11" s="5"/>
      <c r="AE11" s="19" t="s">
        <v>64</v>
      </c>
      <c r="AF11" s="19" t="s">
        <v>32</v>
      </c>
      <c r="AG11" s="19" t="s">
        <v>1</v>
      </c>
      <c r="AH11" s="19" t="s">
        <v>2</v>
      </c>
      <c r="AI11" s="19" t="s">
        <v>8</v>
      </c>
      <c r="AJ11" s="19" t="s">
        <v>7</v>
      </c>
      <c r="AK11" s="19" t="s">
        <v>21</v>
      </c>
      <c r="AL11" s="19" t="s">
        <v>23</v>
      </c>
      <c r="AM11" s="19" t="s">
        <v>33</v>
      </c>
      <c r="AN11" s="19" t="s">
        <v>34</v>
      </c>
      <c r="AO11" s="19" t="s">
        <v>35</v>
      </c>
      <c r="AP11" s="19" t="s">
        <v>36</v>
      </c>
      <c r="AQ11" s="19" t="s">
        <v>37</v>
      </c>
      <c r="CG11" t="str">
        <v>NS361</v>
      </c>
      <c r="CI11" t="str">
        <v>NS361</v>
      </c>
    </row>
    <row r="12" spans="1:87">
      <c r="A12" s="5"/>
      <c r="B12" s="20" cm="1">
        <f t="array" ref="B12:AC33">IFERROR(_xlfn._xlws.FILTER(_xlfn.CHOOSECOLS(tblMasterData[#Data],1,2,3,4,5,6,7,8,9,10,11,12,13,14,15,16,17,18,19,20,21,22,23,24,25,26,27,30),(tblMasterData[RowID]&lt;&gt;"")*IF($B$2="",1,TRIM(tblMasterData[Vessel]&amp;"")=TRIM($B$2&amp;""))*IF($B$3="",1,TRIM(tblMasterData[Voyage]&amp;"")=TRIM($B$3&amp;""))*IF($B$4="",1,tblMasterData[Week]=$B$4)),"No matching rows")</f>
        <v>36</v>
      </c>
      <c r="C12" s="21" t="str">
        <v>MV Aurora Demo</v>
      </c>
      <c r="D12" s="21" t="str">
        <v>AD361</v>
      </c>
      <c r="E12" s="22">
        <v>46267</v>
      </c>
      <c r="F12" s="22">
        <v>46269</v>
      </c>
      <c r="G12" s="22">
        <v>46266</v>
      </c>
      <c r="H12" s="22">
        <v>46275</v>
      </c>
      <c r="I12" s="35" t="str">
        <v>Synthetic portfolio record</v>
      </c>
      <c r="J12" s="20" t="str">
        <v>DEMO-BKG-3601</v>
      </c>
      <c r="K12" s="21" t="str">
        <v>O</v>
      </c>
      <c r="L12" s="21" t="str">
        <v>DEMO-BALTIC</v>
      </c>
      <c r="M12" s="21" t="str">
        <v>Confirmed</v>
      </c>
      <c r="N12" s="29">
        <v>3</v>
      </c>
      <c r="O12" s="21">
        <v>2</v>
      </c>
      <c r="P12" s="21" t="str">
        <v>DRY</v>
      </c>
      <c r="Q12" s="20">
        <v>54000</v>
      </c>
      <c r="R12" s="21" t="str">
        <v>Demoport East</v>
      </c>
      <c r="S12" s="21" t="str">
        <v>No</v>
      </c>
      <c r="T12" s="21" t="str">
        <v>DMW</v>
      </c>
      <c r="U12" s="16" t="str">
        <v>Demoport West</v>
      </c>
      <c r="V12" s="35" t="str">
        <v>Northwind Demo Foods</v>
      </c>
      <c r="W12" s="35" t="str">
        <v>Generated independently for demonstration</v>
      </c>
      <c r="X12" s="21" t="str">
        <v>Active</v>
      </c>
      <c r="Y12" s="21">
        <v>0</v>
      </c>
      <c r="Z12" s="20">
        <v>3</v>
      </c>
      <c r="AA12" s="20">
        <v>3</v>
      </c>
      <c r="AB12" s="20">
        <v>54000</v>
      </c>
      <c r="AC12" s="21">
        <v>0</v>
      </c>
      <c r="AD12" s="5"/>
      <c r="AE12" s="32" cm="1">
        <f t="array" ref="AE12:AQ46">IFERROR(_xlfn._xlws.SORT(_xlfn._xlws.FILTER(_xlfn.CHOOSECOLS(tblHistory[#Data],1,2,6,7,8,9,10,11,12,13,14,15,16),(tblHistory[Timestamp]&lt;&gt;"")*IF($B$2="",1,TRIM(tblHistory[Vessel]&amp;"")=TRIM($B$2&amp;""))*IF($B$3="",1,TRIM(tblHistory[Voyage]&amp;"")=TRIM($B$3&amp;""))*IF($B$4="",1,tblHistory[Week]=$B$4)*IF($B$5="",1,tblHistory[Month]=$B$5)*IF($B$6="",1,tblHistory[Year]=$B$6)),1,-1),"No matching history")</f>
        <v>46276.395833299997</v>
      </c>
      <c r="AF12" s="21" t="str">
        <v>demo.operator</v>
      </c>
      <c r="AG12" s="21" t="str">
        <v>MV Baltic Comet Demo</v>
      </c>
      <c r="AH12" s="21" t="str">
        <v>BC381</v>
      </c>
      <c r="AI12" s="21" t="str">
        <v>DEMO-BKG-3803</v>
      </c>
      <c r="AJ12" s="35" t="str">
        <v>Synthetic portfolio record</v>
      </c>
      <c r="AK12" s="35" t="str">
        <v>Generated independently for demonstration</v>
      </c>
      <c r="AL12" s="35">
        <v>0</v>
      </c>
      <c r="AM12" s="21" t="str">
        <v>Cut-Off</v>
      </c>
      <c r="AN12" s="21" t="str">
        <v>2026-09-15</v>
      </c>
      <c r="AO12" s="21" t="str">
        <v>2026-09-16</v>
      </c>
      <c r="AP12" s="20">
        <v>2026</v>
      </c>
      <c r="AQ12" s="20">
        <v>9</v>
      </c>
      <c r="CG12" t="str">
        <v>NS371</v>
      </c>
      <c r="CI12" t="str">
        <v>NS371</v>
      </c>
    </row>
    <row r="13" spans="1:87" ht="15" customHeight="1">
      <c r="A13" s="5"/>
      <c r="B13" s="23">
        <v>36</v>
      </c>
      <c r="C13" s="24" t="str">
        <v>MV Aurora Demo</v>
      </c>
      <c r="D13" s="24" t="str">
        <v>AD361</v>
      </c>
      <c r="E13" s="25">
        <v>46267</v>
      </c>
      <c r="F13" s="25">
        <v>46269</v>
      </c>
      <c r="G13" s="25">
        <v>46266</v>
      </c>
      <c r="H13" s="25">
        <v>46275</v>
      </c>
      <c r="I13" s="41" t="str">
        <v>Synthetic portfolio record</v>
      </c>
      <c r="J13" s="23" t="str">
        <v>DEMO-BKG-3602</v>
      </c>
      <c r="K13" s="24" t="str">
        <v>O</v>
      </c>
      <c r="L13" s="24" t="str">
        <v>DEMO-BALTIC</v>
      </c>
      <c r="M13" s="24" t="str">
        <v>Confirmed</v>
      </c>
      <c r="N13" s="30">
        <v>2</v>
      </c>
      <c r="O13" s="24">
        <v>4</v>
      </c>
      <c r="P13" s="24" t="str">
        <v>HC</v>
      </c>
      <c r="Q13" s="23">
        <v>42000</v>
      </c>
      <c r="R13" s="24" t="str">
        <v>Demoport East</v>
      </c>
      <c r="S13" s="24" t="str">
        <v>No</v>
      </c>
      <c r="T13" s="24" t="str">
        <v>DMW</v>
      </c>
      <c r="U13" s="17" t="str">
        <v>Demoport West</v>
      </c>
      <c r="V13" s="36" t="str">
        <v>Contoso Demo Retail</v>
      </c>
      <c r="W13" s="36" t="str">
        <v>Generated independently for demonstration</v>
      </c>
      <c r="X13" s="24" t="str">
        <v>Active</v>
      </c>
      <c r="Y13" s="24">
        <v>0</v>
      </c>
      <c r="Z13" s="23">
        <v>2</v>
      </c>
      <c r="AA13" s="23">
        <v>4</v>
      </c>
      <c r="AB13" s="23">
        <v>42000</v>
      </c>
      <c r="AC13" s="24" t="str">
        <v>Empty</v>
      </c>
      <c r="AD13" s="5"/>
      <c r="AE13" s="33">
        <v>46276.375</v>
      </c>
      <c r="AF13" s="24" t="str">
        <v>demo.operator</v>
      </c>
      <c r="AG13" s="24" t="str">
        <v>MV Aurora Demo</v>
      </c>
      <c r="AH13" s="24" t="str">
        <v>AD381</v>
      </c>
      <c r="AI13" s="24" t="str">
        <v>DEMO-BKG-3801</v>
      </c>
      <c r="AJ13" s="36" t="str">
        <v>Synthetic portfolio record</v>
      </c>
      <c r="AK13" s="36" t="str">
        <v>Generated independently for demonstration</v>
      </c>
      <c r="AL13" s="36">
        <v>0</v>
      </c>
      <c r="AM13" s="24" t="str">
        <v>ETD</v>
      </c>
      <c r="AN13" s="24" t="str">
        <v>2026-09-17</v>
      </c>
      <c r="AO13" s="24" t="str">
        <v>2026-09-18</v>
      </c>
      <c r="AP13" s="23">
        <v>2026</v>
      </c>
      <c r="AQ13" s="23">
        <v>9</v>
      </c>
      <c r="CG13" t="str">
        <v>NS381</v>
      </c>
      <c r="CI13" t="str">
        <v>NS381</v>
      </c>
    </row>
    <row r="14" spans="1:87" ht="15" customHeight="1">
      <c r="A14" s="5"/>
      <c r="B14" s="23">
        <v>36</v>
      </c>
      <c r="C14" s="24" t="str">
        <v>MV Aurora Demo</v>
      </c>
      <c r="D14" s="24" t="str">
        <v>AD361</v>
      </c>
      <c r="E14" s="25">
        <v>46267</v>
      </c>
      <c r="F14" s="25">
        <v>46269</v>
      </c>
      <c r="G14" s="25">
        <v>46266</v>
      </c>
      <c r="H14" s="25">
        <v>46275</v>
      </c>
      <c r="I14" s="36" t="str">
        <v>Synthetic portfolio record</v>
      </c>
      <c r="J14" s="23" t="str">
        <v>DEMO-BKG-3603</v>
      </c>
      <c r="K14" s="24" t="str">
        <v>O</v>
      </c>
      <c r="L14" s="24" t="str">
        <v>DEMO-BALTIC</v>
      </c>
      <c r="M14" s="24" t="str">
        <v>Confirmed</v>
      </c>
      <c r="N14" s="30">
        <v>1</v>
      </c>
      <c r="O14" s="24">
        <v>4</v>
      </c>
      <c r="P14" s="24" t="str">
        <v>REEFER</v>
      </c>
      <c r="Q14" s="23">
        <v>18000</v>
      </c>
      <c r="R14" s="24" t="str">
        <v>Demoport East</v>
      </c>
      <c r="S14" s="24" t="str">
        <v>No</v>
      </c>
      <c r="T14" s="24" t="str">
        <v>DMW</v>
      </c>
      <c r="U14" s="17" t="str">
        <v>Demoport West</v>
      </c>
      <c r="V14" s="36" t="str">
        <v>Fabrikam Demo Components</v>
      </c>
      <c r="W14" s="36" t="str">
        <v>Generated independently for demonstration</v>
      </c>
      <c r="X14" s="24" t="str">
        <v>Active</v>
      </c>
      <c r="Y14" s="24">
        <v>0</v>
      </c>
      <c r="Z14" s="23">
        <v>1</v>
      </c>
      <c r="AA14" s="23">
        <v>2</v>
      </c>
      <c r="AB14" s="23">
        <v>18000</v>
      </c>
      <c r="AC14" s="5" t="str">
        <v>Loaded</v>
      </c>
      <c r="AD14" s="5"/>
      <c r="AE14" s="33">
        <v>46275.584027800003</v>
      </c>
      <c r="AF14" s="24" t="str">
        <v>demo.operator</v>
      </c>
      <c r="AG14" s="24" t="str">
        <v>MV Aurora Demo</v>
      </c>
      <c r="AH14" s="24" t="str">
        <v>AD381</v>
      </c>
      <c r="AI14" s="24" t="str">
        <v>DEMO-BKG-3806</v>
      </c>
      <c r="AJ14" s="36" t="str">
        <v>Synthetic portfolio record</v>
      </c>
      <c r="AK14" s="36" t="str">
        <v>Generated independently for demonstration</v>
      </c>
      <c r="AL14" s="36" t="str">
        <v>Synthetic booking withdrawn</v>
      </c>
      <c r="AM14" s="24" t="str">
        <v>CancelReason</v>
      </c>
      <c r="AN14" s="24">
        <v>0</v>
      </c>
      <c r="AO14" s="24" t="str">
        <v>Synthetic booking withdrawn</v>
      </c>
      <c r="AP14" s="23">
        <v>2026</v>
      </c>
      <c r="AQ14" s="23">
        <v>9</v>
      </c>
    </row>
    <row r="15" spans="1:87">
      <c r="A15" s="5"/>
      <c r="B15" s="23">
        <v>36</v>
      </c>
      <c r="C15" s="24" t="str">
        <v>MV Baltic Comet Demo</v>
      </c>
      <c r="D15" s="24" t="str">
        <v>BC361</v>
      </c>
      <c r="E15" s="25">
        <v>46268</v>
      </c>
      <c r="F15" s="25">
        <v>46270</v>
      </c>
      <c r="G15" s="25">
        <v>46267</v>
      </c>
      <c r="H15" s="25">
        <v>46277</v>
      </c>
      <c r="I15" s="36" t="str">
        <v>Synthetic portfolio record</v>
      </c>
      <c r="J15" s="23" t="str">
        <v>DEMO-BKG-3604</v>
      </c>
      <c r="K15" s="24" t="str">
        <v>O</v>
      </c>
      <c r="L15" s="24" t="str">
        <v>DEMO-NORTH</v>
      </c>
      <c r="M15" s="24" t="str">
        <v>Confirmed</v>
      </c>
      <c r="N15" s="30">
        <v>4</v>
      </c>
      <c r="O15" s="24">
        <v>2</v>
      </c>
      <c r="P15" s="24" t="str">
        <v>DRY</v>
      </c>
      <c r="Q15" s="23">
        <v>70000</v>
      </c>
      <c r="R15" s="24" t="str">
        <v>Demoport North</v>
      </c>
      <c r="S15" s="24" t="str">
        <v>No</v>
      </c>
      <c r="T15" s="24" t="str">
        <v>DMS</v>
      </c>
      <c r="U15" s="17" t="str">
        <v>Demoport South</v>
      </c>
      <c r="V15" s="36" t="str">
        <v>Adventure Works Demo</v>
      </c>
      <c r="W15" s="36" t="str">
        <v>Generated independently for demonstration</v>
      </c>
      <c r="X15" s="24" t="str">
        <v>Active</v>
      </c>
      <c r="Y15" s="24">
        <v>0</v>
      </c>
      <c r="Z15" s="23">
        <v>4</v>
      </c>
      <c r="AA15" s="23">
        <v>4</v>
      </c>
      <c r="AB15" s="23">
        <v>70000</v>
      </c>
      <c r="AC15" s="5" t="str">
        <v>Loaded</v>
      </c>
      <c r="AD15" s="5"/>
      <c r="AE15" s="33">
        <v>46275.583333299997</v>
      </c>
      <c r="AF15" s="24" t="str">
        <v>demo.operator</v>
      </c>
      <c r="AG15" s="24" t="str">
        <v>MV Aurora Demo</v>
      </c>
      <c r="AH15" s="24" t="str">
        <v>AD381</v>
      </c>
      <c r="AI15" s="24" t="str">
        <v>DEMO-BKG-3806</v>
      </c>
      <c r="AJ15" s="36" t="str">
        <v>Synthetic portfolio record</v>
      </c>
      <c r="AK15" s="36" t="str">
        <v>Generated independently for demonstration</v>
      </c>
      <c r="AL15" s="36" t="str">
        <v>Synthetic booking withdrawn</v>
      </c>
      <c r="AM15" s="24" t="str">
        <v>RowStatus</v>
      </c>
      <c r="AN15" s="24" t="str">
        <v>Active</v>
      </c>
      <c r="AO15" s="24" t="str">
        <v>Cancelled</v>
      </c>
      <c r="AP15" s="23">
        <v>2026</v>
      </c>
      <c r="AQ15" s="23">
        <v>9</v>
      </c>
    </row>
    <row r="16" spans="1:87">
      <c r="A16" s="5"/>
      <c r="B16" s="23">
        <v>36</v>
      </c>
      <c r="C16" s="24" t="str">
        <v>MV Baltic Comet Demo</v>
      </c>
      <c r="D16" s="24" t="str">
        <v>BC361</v>
      </c>
      <c r="E16" s="25">
        <v>46268</v>
      </c>
      <c r="F16" s="25">
        <v>46270</v>
      </c>
      <c r="G16" s="25">
        <v>46267</v>
      </c>
      <c r="H16" s="25">
        <v>46277</v>
      </c>
      <c r="I16" s="36" t="str">
        <v>Synthetic portfolio record</v>
      </c>
      <c r="J16" s="23" t="str">
        <v>DEMO-BKG-3606</v>
      </c>
      <c r="K16" s="24" t="str">
        <v>O</v>
      </c>
      <c r="L16" s="24" t="str">
        <v>DEMO-NORTH</v>
      </c>
      <c r="M16" s="24" t="str">
        <v>Confirmed</v>
      </c>
      <c r="N16" s="30">
        <v>2</v>
      </c>
      <c r="O16" s="24">
        <v>4</v>
      </c>
      <c r="P16" s="24" t="str">
        <v>HC</v>
      </c>
      <c r="Q16" s="23">
        <v>40000</v>
      </c>
      <c r="R16" s="24" t="str">
        <v>Demoport North</v>
      </c>
      <c r="S16" s="24" t="str">
        <v>No</v>
      </c>
      <c r="T16" s="24" t="str">
        <v>DMS</v>
      </c>
      <c r="U16" s="17" t="str">
        <v>Demoport South</v>
      </c>
      <c r="V16" s="36" t="str">
        <v>Northwind Demo Foods</v>
      </c>
      <c r="W16" s="36" t="str">
        <v>Generated independently for demonstration</v>
      </c>
      <c r="X16" s="24" t="str">
        <v>Cancelled</v>
      </c>
      <c r="Y16" s="24" t="str">
        <v>Synthetic customer cancellation</v>
      </c>
      <c r="Z16" s="23">
        <v>0</v>
      </c>
      <c r="AA16" s="23">
        <v>0</v>
      </c>
      <c r="AB16" s="23">
        <v>0</v>
      </c>
      <c r="AC16" s="5" t="str">
        <v>Loaded</v>
      </c>
      <c r="AD16" s="5"/>
      <c r="AE16" s="33">
        <v>46275.364583299997</v>
      </c>
      <c r="AF16" s="24" t="str">
        <v>demo.operator</v>
      </c>
      <c r="AG16" s="24" t="str">
        <v>MV Northstar Demo</v>
      </c>
      <c r="AH16" s="24" t="str">
        <v>NS381</v>
      </c>
      <c r="AI16" s="24" t="str">
        <v>DEMO-BKG-3805</v>
      </c>
      <c r="AJ16" s="36" t="str">
        <v>Synthetic portfolio record</v>
      </c>
      <c r="AK16" s="36" t="str">
        <v>Generated independently for demonstration</v>
      </c>
      <c r="AL16" s="36">
        <v>0</v>
      </c>
      <c r="AM16" s="24" t="str">
        <v>GWT</v>
      </c>
      <c r="AN16" s="24">
        <v>30000</v>
      </c>
      <c r="AO16" s="24">
        <v>34000</v>
      </c>
      <c r="AP16" s="23">
        <v>2026</v>
      </c>
      <c r="AQ16" s="23">
        <v>9</v>
      </c>
    </row>
    <row r="17" spans="1:43">
      <c r="A17" s="5"/>
      <c r="B17" s="23">
        <v>36</v>
      </c>
      <c r="C17" s="24" t="str">
        <v>MV Northstar Demo</v>
      </c>
      <c r="D17" s="24" t="str">
        <v>NS361</v>
      </c>
      <c r="E17" s="25">
        <v>46270</v>
      </c>
      <c r="F17" s="25">
        <v>46271</v>
      </c>
      <c r="G17" s="25">
        <v>46269</v>
      </c>
      <c r="H17" s="25">
        <v>0</v>
      </c>
      <c r="I17" s="36" t="str">
        <v>Synthetic portfolio record</v>
      </c>
      <c r="J17" s="23" t="str">
        <v>DEMO-BKG-3607</v>
      </c>
      <c r="K17" s="24" t="str">
        <v>O</v>
      </c>
      <c r="L17" s="24" t="str">
        <v>DEMO-FEEDER</v>
      </c>
      <c r="M17" s="24" t="str">
        <v>Confirmed</v>
      </c>
      <c r="N17" s="30">
        <v>3</v>
      </c>
      <c r="O17" s="24">
        <v>2</v>
      </c>
      <c r="P17" s="24" t="str">
        <v>DRY</v>
      </c>
      <c r="Q17" s="23">
        <v>12000</v>
      </c>
      <c r="R17" s="24" t="str">
        <v>Demoport West</v>
      </c>
      <c r="S17" s="24" t="str">
        <v>No</v>
      </c>
      <c r="T17" s="24" t="str">
        <v>DME</v>
      </c>
      <c r="U17" s="17" t="str">
        <v>Demoport East</v>
      </c>
      <c r="V17" s="36" t="str">
        <v>Contoso Demo Retail</v>
      </c>
      <c r="W17" s="36" t="str">
        <v>Generated independently for demonstration</v>
      </c>
      <c r="X17" s="24" t="str">
        <v>Active</v>
      </c>
      <c r="Y17" s="24">
        <v>0</v>
      </c>
      <c r="Z17" s="23">
        <v>3</v>
      </c>
      <c r="AA17" s="23">
        <v>3</v>
      </c>
      <c r="AB17" s="23">
        <v>12000</v>
      </c>
      <c r="AC17" s="5" t="str">
        <v>Empty</v>
      </c>
      <c r="AD17" s="5"/>
      <c r="AE17" s="33">
        <v>46274.479166700003</v>
      </c>
      <c r="AF17" s="24" t="str">
        <v>demo.operator</v>
      </c>
      <c r="AG17" s="24" t="str">
        <v>MV Northstar Demo</v>
      </c>
      <c r="AH17" s="24" t="str">
        <v>NS381</v>
      </c>
      <c r="AI17" s="24" t="str">
        <v>DEMO-BKG-3804</v>
      </c>
      <c r="AJ17" s="36" t="str">
        <v>Synthetic portfolio record</v>
      </c>
      <c r="AK17" s="36" t="str">
        <v>Generated independently for demonstration</v>
      </c>
      <c r="AL17" s="36">
        <v>0</v>
      </c>
      <c r="AM17" s="24" t="str">
        <v>ETA</v>
      </c>
      <c r="AN17" s="24" t="str">
        <v>2026-09-18</v>
      </c>
      <c r="AO17" s="24" t="str">
        <v>2026-09-19</v>
      </c>
      <c r="AP17" s="23">
        <v>2026</v>
      </c>
      <c r="AQ17" s="23">
        <v>9</v>
      </c>
    </row>
    <row r="18" spans="1:43">
      <c r="A18" s="5"/>
      <c r="B18" s="23">
        <v>37</v>
      </c>
      <c r="C18" s="24" t="str">
        <v>MV Aurora Demo</v>
      </c>
      <c r="D18" s="24" t="str">
        <v>AD371</v>
      </c>
      <c r="E18" s="25">
        <v>46274</v>
      </c>
      <c r="F18" s="25">
        <v>46276</v>
      </c>
      <c r="G18" s="25">
        <v>46273</v>
      </c>
      <c r="H18" s="25">
        <v>46282</v>
      </c>
      <c r="I18" s="36" t="str">
        <v>Synthetic portfolio record</v>
      </c>
      <c r="J18" s="23" t="str">
        <v>DEMO-BKG-3701</v>
      </c>
      <c r="K18" s="24" t="str">
        <v>O</v>
      </c>
      <c r="L18" s="24" t="str">
        <v>DEMO-BALTIC</v>
      </c>
      <c r="M18" s="24" t="str">
        <v>Confirmed</v>
      </c>
      <c r="N18" s="30">
        <v>4</v>
      </c>
      <c r="O18" s="24">
        <v>4</v>
      </c>
      <c r="P18" s="24" t="str">
        <v>HC</v>
      </c>
      <c r="Q18" s="23">
        <v>80000</v>
      </c>
      <c r="R18" s="24" t="str">
        <v>Demoport East</v>
      </c>
      <c r="S18" s="24" t="str">
        <v>No</v>
      </c>
      <c r="T18" s="24" t="str">
        <v>DMW</v>
      </c>
      <c r="U18" s="17" t="str">
        <v>Demoport West</v>
      </c>
      <c r="V18" s="36" t="str">
        <v>Fabrikam Demo Components</v>
      </c>
      <c r="W18" s="36" t="str">
        <v>Generated independently for demonstration</v>
      </c>
      <c r="X18" s="24" t="str">
        <v>Active</v>
      </c>
      <c r="Y18" s="24">
        <v>0</v>
      </c>
      <c r="Z18" s="23">
        <v>4</v>
      </c>
      <c r="AA18" s="23">
        <v>8</v>
      </c>
      <c r="AB18" s="23">
        <v>80000</v>
      </c>
      <c r="AC18" s="5" t="str">
        <v>Loaded</v>
      </c>
      <c r="AD18" s="5"/>
      <c r="AE18" s="33">
        <v>46274.423611099999</v>
      </c>
      <c r="AF18" s="24" t="str">
        <v>demo.operator</v>
      </c>
      <c r="AG18" s="24" t="str">
        <v>MV Baltic Comet Demo</v>
      </c>
      <c r="AH18" s="24" t="str">
        <v>BC381</v>
      </c>
      <c r="AI18" s="24" t="str">
        <v>DEMO-BKG-3803</v>
      </c>
      <c r="AJ18" s="36" t="str">
        <v>Synthetic portfolio record</v>
      </c>
      <c r="AK18" s="36" t="str">
        <v>Generated independently for demonstration</v>
      </c>
      <c r="AL18" s="36">
        <v>0</v>
      </c>
      <c r="AM18" s="24" t="str">
        <v>CNTR AMT</v>
      </c>
      <c r="AN18" s="24">
        <v>5</v>
      </c>
      <c r="AO18" s="24">
        <v>6</v>
      </c>
      <c r="AP18" s="23">
        <v>2026</v>
      </c>
      <c r="AQ18" s="23">
        <v>9</v>
      </c>
    </row>
    <row r="19" spans="1:43">
      <c r="A19" s="5"/>
      <c r="B19" s="23">
        <v>37</v>
      </c>
      <c r="C19" s="24" t="str">
        <v>MV Aurora Demo</v>
      </c>
      <c r="D19" s="24" t="str">
        <v>AD371</v>
      </c>
      <c r="E19" s="25">
        <v>46274</v>
      </c>
      <c r="F19" s="25">
        <v>46276</v>
      </c>
      <c r="G19" s="25">
        <v>46273</v>
      </c>
      <c r="H19" s="25">
        <v>46282</v>
      </c>
      <c r="I19" s="36" t="str">
        <v>Synthetic portfolio record</v>
      </c>
      <c r="J19" s="23" t="str">
        <v>DEMO-BKG-3702</v>
      </c>
      <c r="K19" s="24" t="str">
        <v>O</v>
      </c>
      <c r="L19" s="24" t="str">
        <v>DEMO-BALTIC</v>
      </c>
      <c r="M19" s="24" t="str">
        <v>Confirmed</v>
      </c>
      <c r="N19" s="30">
        <v>2</v>
      </c>
      <c r="O19" s="24">
        <v>2</v>
      </c>
      <c r="P19" s="24" t="str">
        <v>DRY</v>
      </c>
      <c r="Q19" s="23">
        <v>8000</v>
      </c>
      <c r="R19" s="24" t="str">
        <v>Demoport East</v>
      </c>
      <c r="S19" s="24" t="str">
        <v>No</v>
      </c>
      <c r="T19" s="24" t="str">
        <v>DMW</v>
      </c>
      <c r="U19" s="17" t="str">
        <v>Demoport West</v>
      </c>
      <c r="V19" s="36" t="str">
        <v>Contoso Demo Retail</v>
      </c>
      <c r="W19" s="36" t="str">
        <v>Generated independently for demonstration</v>
      </c>
      <c r="X19" s="24" t="str">
        <v>Active</v>
      </c>
      <c r="Y19" s="24">
        <v>0</v>
      </c>
      <c r="Z19" s="23">
        <v>2</v>
      </c>
      <c r="AA19" s="23">
        <v>2</v>
      </c>
      <c r="AB19" s="23">
        <v>8000</v>
      </c>
      <c r="AC19" s="5" t="str">
        <v>Empty</v>
      </c>
      <c r="AD19" s="5"/>
      <c r="AE19" s="33">
        <v>46273.388888900001</v>
      </c>
      <c r="AF19" s="24" t="str">
        <v>demo.operator</v>
      </c>
      <c r="AG19" s="24" t="str">
        <v>MV Aurora Demo</v>
      </c>
      <c r="AH19" s="24" t="str">
        <v>AD381</v>
      </c>
      <c r="AI19" s="24" t="str">
        <v>DEMO-BKG-3802</v>
      </c>
      <c r="AJ19" s="36" t="str">
        <v>Synthetic portfolio record</v>
      </c>
      <c r="AK19" s="36" t="str">
        <v>Generated independently for demonstration</v>
      </c>
      <c r="AL19" s="36">
        <v>0</v>
      </c>
      <c r="AM19" s="24" t="str">
        <v>LoadStatus</v>
      </c>
      <c r="AN19" s="24" t="str">
        <v>Loaded</v>
      </c>
      <c r="AO19" s="24" t="str">
        <v>Empty</v>
      </c>
      <c r="AP19" s="23">
        <v>2026</v>
      </c>
      <c r="AQ19" s="23">
        <v>9</v>
      </c>
    </row>
    <row r="20" spans="1:43">
      <c r="A20" s="5"/>
      <c r="B20" s="23">
        <v>37</v>
      </c>
      <c r="C20" s="24" t="str">
        <v>MV Baltic Comet Demo</v>
      </c>
      <c r="D20" s="24" t="str">
        <v>BC371</v>
      </c>
      <c r="E20" s="25">
        <v>46275</v>
      </c>
      <c r="F20" s="25">
        <v>46277</v>
      </c>
      <c r="G20" s="25">
        <v>46274</v>
      </c>
      <c r="H20" s="25">
        <v>46283</v>
      </c>
      <c r="I20" s="36" t="str">
        <v>Synthetic portfolio record</v>
      </c>
      <c r="J20" s="23" t="str">
        <v>DEMO-BKG-3703</v>
      </c>
      <c r="K20" s="24" t="str">
        <v>O</v>
      </c>
      <c r="L20" s="24" t="str">
        <v>DEMO-NORTH</v>
      </c>
      <c r="M20" s="24" t="str">
        <v>Confirmed</v>
      </c>
      <c r="N20" s="30">
        <v>5</v>
      </c>
      <c r="O20" s="24">
        <v>2</v>
      </c>
      <c r="P20" s="24" t="str">
        <v>DRY</v>
      </c>
      <c r="Q20" s="23">
        <v>91000</v>
      </c>
      <c r="R20" s="24" t="str">
        <v>Demoport North</v>
      </c>
      <c r="S20" s="24" t="str">
        <v>No</v>
      </c>
      <c r="T20" s="24" t="str">
        <v>DMS</v>
      </c>
      <c r="U20" s="17" t="str">
        <v>Demoport South</v>
      </c>
      <c r="V20" s="36" t="str">
        <v>Northwind Demo Foods</v>
      </c>
      <c r="W20" s="36" t="str">
        <v>Generated independently for demonstration</v>
      </c>
      <c r="X20" s="24" t="str">
        <v>Active</v>
      </c>
      <c r="Y20" s="24">
        <v>0</v>
      </c>
      <c r="Z20" s="23">
        <v>5</v>
      </c>
      <c r="AA20" s="23">
        <v>5</v>
      </c>
      <c r="AB20" s="23">
        <v>91000</v>
      </c>
      <c r="AC20" s="5" t="str">
        <v>Loaded</v>
      </c>
      <c r="AD20" s="5"/>
      <c r="AE20" s="33">
        <v>46273.375</v>
      </c>
      <c r="AF20" s="24" t="str">
        <v>demo.operator</v>
      </c>
      <c r="AG20" s="24" t="str">
        <v>MV Aurora Demo</v>
      </c>
      <c r="AH20" s="24" t="str">
        <v>AD381</v>
      </c>
      <c r="AI20" s="24" t="str">
        <v>DEMO-BKG-3801</v>
      </c>
      <c r="AJ20" s="36" t="str">
        <v>Synthetic portfolio record</v>
      </c>
      <c r="AK20" s="36" t="str">
        <v>Generated independently for demonstration</v>
      </c>
      <c r="AL20" s="36">
        <v>0</v>
      </c>
      <c r="AM20" s="24" t="str">
        <v>ETA</v>
      </c>
      <c r="AN20" s="24" t="str">
        <v>2026-09-15</v>
      </c>
      <c r="AO20" s="24" t="str">
        <v>2026-09-16</v>
      </c>
      <c r="AP20" s="23">
        <v>2026</v>
      </c>
      <c r="AQ20" s="23">
        <v>9</v>
      </c>
    </row>
    <row r="21" spans="1:43">
      <c r="A21" s="5"/>
      <c r="B21" s="23">
        <v>37</v>
      </c>
      <c r="C21" s="24" t="str">
        <v>MV Baltic Comet Demo</v>
      </c>
      <c r="D21" s="24" t="str">
        <v>BC371</v>
      </c>
      <c r="E21" s="25">
        <v>46275</v>
      </c>
      <c r="F21" s="25">
        <v>46277</v>
      </c>
      <c r="G21" s="25">
        <v>46274</v>
      </c>
      <c r="H21" s="25">
        <v>46283</v>
      </c>
      <c r="I21" s="36" t="str">
        <v>Synthetic portfolio record</v>
      </c>
      <c r="J21" s="23" t="str">
        <v>DEMO-BKG-3704</v>
      </c>
      <c r="K21" s="24" t="str">
        <v>O</v>
      </c>
      <c r="L21" s="24" t="str">
        <v>DEMO-NORTH</v>
      </c>
      <c r="M21" s="24" t="str">
        <v>Confirmed</v>
      </c>
      <c r="N21" s="30">
        <v>1</v>
      </c>
      <c r="O21" s="24">
        <v>4</v>
      </c>
      <c r="P21" s="24" t="str">
        <v>HC</v>
      </c>
      <c r="Q21" s="23">
        <v>7000</v>
      </c>
      <c r="R21" s="24" t="str">
        <v>Demoport North</v>
      </c>
      <c r="S21" s="24" t="str">
        <v>No</v>
      </c>
      <c r="T21" s="24" t="str">
        <v>DMS</v>
      </c>
      <c r="U21" s="17" t="str">
        <v>Demoport South</v>
      </c>
      <c r="V21" s="36" t="str">
        <v>Adventure Works Demo</v>
      </c>
      <c r="W21" s="36" t="str">
        <v>Generated independently for demonstration</v>
      </c>
      <c r="X21" s="24" t="str">
        <v>Active</v>
      </c>
      <c r="Y21" s="24">
        <v>0</v>
      </c>
      <c r="Z21" s="23">
        <v>1</v>
      </c>
      <c r="AA21" s="23">
        <v>2</v>
      </c>
      <c r="AB21" s="23">
        <v>7000</v>
      </c>
      <c r="AC21" s="5" t="str">
        <v>Empty</v>
      </c>
      <c r="AD21" s="5"/>
      <c r="AE21" s="33">
        <v>46270.5</v>
      </c>
      <c r="AF21" s="24" t="str">
        <v>demo.operator</v>
      </c>
      <c r="AG21" s="24" t="str">
        <v>MV Baltic Comet Demo</v>
      </c>
      <c r="AH21" s="24" t="str">
        <v>BC371</v>
      </c>
      <c r="AI21" s="24" t="str">
        <v>DEMO-BKG-3709</v>
      </c>
      <c r="AJ21" s="36" t="str">
        <v>Synthetic portfolio record</v>
      </c>
      <c r="AK21" s="36" t="str">
        <v>Intentional demo DQ case: unsupported SIZE and missing TYPE</v>
      </c>
      <c r="AL21" s="36">
        <v>0</v>
      </c>
      <c r="AM21" s="24" t="str">
        <v>SIZE</v>
      </c>
      <c r="AN21" s="24">
        <v>2</v>
      </c>
      <c r="AO21" s="24">
        <v>3</v>
      </c>
      <c r="AP21" s="23">
        <v>2026</v>
      </c>
      <c r="AQ21" s="23">
        <v>9</v>
      </c>
    </row>
    <row r="22" spans="1:43">
      <c r="A22" s="5"/>
      <c r="B22" s="23">
        <v>37</v>
      </c>
      <c r="C22" s="24" t="str">
        <v>MV Northstar Demo</v>
      </c>
      <c r="D22" s="24" t="str">
        <v>NS371</v>
      </c>
      <c r="E22" s="25">
        <v>46277</v>
      </c>
      <c r="F22" s="25">
        <v>46278</v>
      </c>
      <c r="G22" s="25">
        <v>46276</v>
      </c>
      <c r="H22" s="25">
        <v>0</v>
      </c>
      <c r="I22" s="36" t="str">
        <v>Synthetic portfolio record</v>
      </c>
      <c r="J22" s="23" t="str">
        <v>DEMO-BKG-3705</v>
      </c>
      <c r="K22" s="24" t="str">
        <v>O</v>
      </c>
      <c r="L22" s="24" t="str">
        <v>DEMO-FEEDER</v>
      </c>
      <c r="M22" s="24" t="str">
        <v>Confirmed</v>
      </c>
      <c r="N22" s="30">
        <v>2</v>
      </c>
      <c r="O22" s="24">
        <v>4</v>
      </c>
      <c r="P22" s="24" t="str">
        <v>REEFER</v>
      </c>
      <c r="Q22" s="23">
        <v>36000</v>
      </c>
      <c r="R22" s="24" t="str">
        <v>Demoport West</v>
      </c>
      <c r="S22" s="24" t="str">
        <v>No</v>
      </c>
      <c r="T22" s="24" t="str">
        <v>DME</v>
      </c>
      <c r="U22" s="17" t="str">
        <v>Demoport East</v>
      </c>
      <c r="V22" s="36" t="str">
        <v>Fabrikam Demo Components</v>
      </c>
      <c r="W22" s="36" t="str">
        <v>Generated independently for demonstration</v>
      </c>
      <c r="X22" s="24" t="str">
        <v>Active</v>
      </c>
      <c r="Y22" s="24">
        <v>0</v>
      </c>
      <c r="Z22" s="23">
        <v>2</v>
      </c>
      <c r="AA22" s="23">
        <v>4</v>
      </c>
      <c r="AB22" s="23">
        <v>36000</v>
      </c>
      <c r="AC22" s="5" t="str">
        <v>Loaded</v>
      </c>
      <c r="AD22" s="5"/>
      <c r="AE22" s="33">
        <v>46270.458333299997</v>
      </c>
      <c r="AF22" s="24" t="str">
        <v>demo.operator</v>
      </c>
      <c r="AG22" s="24" t="str">
        <v>MV Aurora Demo</v>
      </c>
      <c r="AH22" s="24" t="str">
        <v>AD371</v>
      </c>
      <c r="AI22" s="24" t="str">
        <v>DEMO-BKG-3708</v>
      </c>
      <c r="AJ22" s="36" t="str">
        <v>Synthetic portfolio record</v>
      </c>
      <c r="AK22" s="36" t="str">
        <v>Intentional demo DQ case: missing POD CODE</v>
      </c>
      <c r="AL22" s="36">
        <v>0</v>
      </c>
      <c r="AM22" s="24" t="str">
        <v>POD</v>
      </c>
      <c r="AN22" s="24" t="str">
        <v>Demoport North</v>
      </c>
      <c r="AO22" s="24" t="str">
        <v>Demoport West</v>
      </c>
      <c r="AP22" s="23">
        <v>2026</v>
      </c>
      <c r="AQ22" s="23">
        <v>9</v>
      </c>
    </row>
    <row r="23" spans="1:43">
      <c r="A23" s="5"/>
      <c r="B23" s="23">
        <v>37</v>
      </c>
      <c r="C23" s="24" t="str">
        <v>MV Northstar Demo</v>
      </c>
      <c r="D23" s="24" t="str">
        <v>NS371</v>
      </c>
      <c r="E23" s="25">
        <v>46277</v>
      </c>
      <c r="F23" s="25">
        <v>46278</v>
      </c>
      <c r="G23" s="25">
        <v>46276</v>
      </c>
      <c r="H23" s="25">
        <v>0</v>
      </c>
      <c r="I23" s="36" t="str">
        <v>Synthetic portfolio record</v>
      </c>
      <c r="J23" s="23" t="str">
        <v>DEMO-BKG-3706</v>
      </c>
      <c r="K23" s="24" t="str">
        <v>O</v>
      </c>
      <c r="L23" s="24" t="str">
        <v>DEMO-FEEDER</v>
      </c>
      <c r="M23" s="24" t="str">
        <v>Confirmed</v>
      </c>
      <c r="N23" s="30">
        <v>3</v>
      </c>
      <c r="O23" s="24">
        <v>2</v>
      </c>
      <c r="P23" s="24" t="str">
        <v>DRY</v>
      </c>
      <c r="Q23" s="23">
        <v>12000</v>
      </c>
      <c r="R23" s="24" t="str">
        <v>Demoport West</v>
      </c>
      <c r="S23" s="24" t="str">
        <v>No</v>
      </c>
      <c r="T23" s="24" t="str">
        <v>DME</v>
      </c>
      <c r="U23" s="17" t="str">
        <v>Demoport East</v>
      </c>
      <c r="V23" s="36" t="str">
        <v>Contoso Demo Retail</v>
      </c>
      <c r="W23" s="36" t="str">
        <v>Generated independently for demonstration</v>
      </c>
      <c r="X23" s="24" t="str">
        <v>Active</v>
      </c>
      <c r="Y23" s="24">
        <v>0</v>
      </c>
      <c r="Z23" s="23">
        <v>3</v>
      </c>
      <c r="AA23" s="23">
        <v>3</v>
      </c>
      <c r="AB23" s="23">
        <v>12000</v>
      </c>
      <c r="AC23" s="5" t="str">
        <v>Empty</v>
      </c>
      <c r="AD23" s="5"/>
      <c r="AE23" s="33">
        <v>46269.625694399998</v>
      </c>
      <c r="AF23" s="24" t="str">
        <v>demo.operator</v>
      </c>
      <c r="AG23" s="24" t="str">
        <v>MV Northstar Demo</v>
      </c>
      <c r="AH23" s="24" t="str">
        <v>NS371</v>
      </c>
      <c r="AI23" s="24" t="str">
        <v>DEMO-BKG-3707</v>
      </c>
      <c r="AJ23" s="36" t="str">
        <v>Synthetic portfolio record</v>
      </c>
      <c r="AK23" s="36" t="str">
        <v>Generated independently for demonstration</v>
      </c>
      <c r="AL23" s="36" t="str">
        <v>Synthetic documentation hold</v>
      </c>
      <c r="AM23" s="24" t="str">
        <v>CancelReason</v>
      </c>
      <c r="AN23" s="24">
        <v>0</v>
      </c>
      <c r="AO23" s="24" t="str">
        <v>Synthetic documentation hold</v>
      </c>
      <c r="AP23" s="23">
        <v>2026</v>
      </c>
      <c r="AQ23" s="23">
        <v>9</v>
      </c>
    </row>
    <row r="24" spans="1:43">
      <c r="A24" s="5"/>
      <c r="B24" s="23">
        <v>37</v>
      </c>
      <c r="C24" s="24" t="str">
        <v>MV Northstar Demo</v>
      </c>
      <c r="D24" s="24" t="str">
        <v>NS371</v>
      </c>
      <c r="E24" s="25">
        <v>46277</v>
      </c>
      <c r="F24" s="25">
        <v>46278</v>
      </c>
      <c r="G24" s="25">
        <v>46276</v>
      </c>
      <c r="H24" s="25">
        <v>0</v>
      </c>
      <c r="I24" s="36" t="str">
        <v>Synthetic portfolio record</v>
      </c>
      <c r="J24" s="23" t="str">
        <v>DEMO-BKG-3707</v>
      </c>
      <c r="K24" s="24" t="str">
        <v>O</v>
      </c>
      <c r="L24" s="24" t="str">
        <v>DEMO-FEEDER</v>
      </c>
      <c r="M24" s="24" t="str">
        <v>Confirmed</v>
      </c>
      <c r="N24" s="30">
        <v>1</v>
      </c>
      <c r="O24" s="24">
        <v>4</v>
      </c>
      <c r="P24" s="24" t="str">
        <v>HC</v>
      </c>
      <c r="Q24" s="23">
        <v>22000</v>
      </c>
      <c r="R24" s="24" t="str">
        <v>Demoport West</v>
      </c>
      <c r="S24" s="24" t="str">
        <v>No</v>
      </c>
      <c r="T24" s="24" t="str">
        <v>DME</v>
      </c>
      <c r="U24" s="17" t="str">
        <v>Demoport East</v>
      </c>
      <c r="V24" s="36" t="str">
        <v>Northwind Demo Foods</v>
      </c>
      <c r="W24" s="36" t="str">
        <v>Generated independently for demonstration</v>
      </c>
      <c r="X24" s="24" t="str">
        <v>Cancelled</v>
      </c>
      <c r="Y24" s="24" t="str">
        <v>Synthetic documentation hold</v>
      </c>
      <c r="Z24" s="23">
        <v>0</v>
      </c>
      <c r="AA24" s="23">
        <v>0</v>
      </c>
      <c r="AB24" s="23">
        <v>0</v>
      </c>
      <c r="AC24" s="5" t="str">
        <v>Loaded</v>
      </c>
      <c r="AD24" s="5"/>
      <c r="AE24" s="33">
        <v>46269.625</v>
      </c>
      <c r="AF24" s="24" t="str">
        <v>demo.operator</v>
      </c>
      <c r="AG24" s="24" t="str">
        <v>MV Northstar Demo</v>
      </c>
      <c r="AH24" s="24" t="str">
        <v>NS371</v>
      </c>
      <c r="AI24" s="24" t="str">
        <v>DEMO-BKG-3707</v>
      </c>
      <c r="AJ24" s="36" t="str">
        <v>Synthetic portfolio record</v>
      </c>
      <c r="AK24" s="36" t="str">
        <v>Generated independently for demonstration</v>
      </c>
      <c r="AL24" s="36" t="str">
        <v>Synthetic documentation hold</v>
      </c>
      <c r="AM24" s="24" t="str">
        <v>RowStatus</v>
      </c>
      <c r="AN24" s="24" t="str">
        <v>Active</v>
      </c>
      <c r="AO24" s="24" t="str">
        <v>Cancelled</v>
      </c>
      <c r="AP24" s="23">
        <v>2026</v>
      </c>
      <c r="AQ24" s="23">
        <v>9</v>
      </c>
    </row>
    <row r="25" spans="1:43">
      <c r="A25" s="5"/>
      <c r="B25" s="23">
        <v>37</v>
      </c>
      <c r="C25" s="24" t="str">
        <v>MV Aurora Demo</v>
      </c>
      <c r="D25" s="24" t="str">
        <v>AD371</v>
      </c>
      <c r="E25" s="25">
        <v>46274</v>
      </c>
      <c r="F25" s="25">
        <v>46276</v>
      </c>
      <c r="G25" s="25">
        <v>46273</v>
      </c>
      <c r="H25" s="25">
        <v>46282</v>
      </c>
      <c r="I25" s="36" t="str">
        <v>Synthetic portfolio record</v>
      </c>
      <c r="J25" s="23" t="str">
        <v>DEMO-BKG-3708</v>
      </c>
      <c r="K25" s="24" t="str">
        <v>O</v>
      </c>
      <c r="L25" s="24" t="str">
        <v>DEMO-BALTIC</v>
      </c>
      <c r="M25" s="24" t="str">
        <v>Confirmed</v>
      </c>
      <c r="N25" s="30">
        <v>2</v>
      </c>
      <c r="O25" s="24">
        <v>2</v>
      </c>
      <c r="P25" s="24" t="str">
        <v>DRY</v>
      </c>
      <c r="Q25" s="23">
        <v>30000</v>
      </c>
      <c r="R25" s="24" t="str">
        <v>Demoport East</v>
      </c>
      <c r="S25" s="24" t="str">
        <v>No</v>
      </c>
      <c r="T25" s="24">
        <v>0</v>
      </c>
      <c r="U25" s="17" t="str">
        <v>Demoport West</v>
      </c>
      <c r="V25" s="36" t="str">
        <v>Adventure Works Demo</v>
      </c>
      <c r="W25" s="36" t="str">
        <v>Intentional demo DQ case: missing POD CODE</v>
      </c>
      <c r="X25" s="24" t="str">
        <v>Active</v>
      </c>
      <c r="Y25" s="24">
        <v>0</v>
      </c>
      <c r="Z25" s="23">
        <v>2</v>
      </c>
      <c r="AA25" s="23">
        <v>2</v>
      </c>
      <c r="AB25" s="23">
        <v>30000</v>
      </c>
      <c r="AC25" s="5" t="str">
        <v>Loaded</v>
      </c>
      <c r="AD25" s="5"/>
      <c r="AE25" s="33">
        <v>46269.416666700003</v>
      </c>
      <c r="AF25" s="24" t="str">
        <v>demo.operator</v>
      </c>
      <c r="AG25" s="24" t="str">
        <v>MV Aurora Demo</v>
      </c>
      <c r="AH25" s="24" t="str">
        <v>AD371</v>
      </c>
      <c r="AI25" s="24" t="str">
        <v>DEMO-BKG-MOVE-01</v>
      </c>
      <c r="AJ25" s="36" t="str">
        <v>Synthetic record relocated from Week 36</v>
      </c>
      <c r="AK25" s="36" t="str">
        <v>Generated independently for demonstration</v>
      </c>
      <c r="AL25" s="36">
        <v>0</v>
      </c>
      <c r="AM25" s="24" t="str">
        <v>ETA</v>
      </c>
      <c r="AN25" s="24" t="str">
        <v>2026-09-09</v>
      </c>
      <c r="AO25" s="24" t="str">
        <v>2026-09-10</v>
      </c>
      <c r="AP25" s="23">
        <v>2026</v>
      </c>
      <c r="AQ25" s="23">
        <v>9</v>
      </c>
    </row>
    <row r="26" spans="1:43">
      <c r="A26" s="5"/>
      <c r="B26" s="23">
        <v>37</v>
      </c>
      <c r="C26" s="24" t="str">
        <v>MV Baltic Comet Demo</v>
      </c>
      <c r="D26" s="24" t="str">
        <v>BC371</v>
      </c>
      <c r="E26" s="25">
        <v>46275</v>
      </c>
      <c r="F26" s="25">
        <v>46277</v>
      </c>
      <c r="G26" s="25">
        <v>46274</v>
      </c>
      <c r="H26" s="25">
        <v>46283</v>
      </c>
      <c r="I26" s="36" t="str">
        <v>Synthetic portfolio record</v>
      </c>
      <c r="J26" s="23" t="str">
        <v>DEMO-BKG-3709</v>
      </c>
      <c r="K26" s="24" t="str">
        <v>O</v>
      </c>
      <c r="L26" s="24" t="str">
        <v>DEMO-NORTH</v>
      </c>
      <c r="M26" s="24" t="str">
        <v>Confirmed</v>
      </c>
      <c r="N26" s="30">
        <v>2</v>
      </c>
      <c r="O26" s="24">
        <v>3</v>
      </c>
      <c r="P26" s="24">
        <v>0</v>
      </c>
      <c r="Q26" s="23">
        <v>25000</v>
      </c>
      <c r="R26" s="24" t="str">
        <v>Demoport North</v>
      </c>
      <c r="S26" s="24" t="str">
        <v>No</v>
      </c>
      <c r="T26" s="24" t="str">
        <v>DMS</v>
      </c>
      <c r="U26" s="17" t="str">
        <v>Demoport South</v>
      </c>
      <c r="V26" s="36" t="str">
        <v>Fabrikam Demo Components</v>
      </c>
      <c r="W26" s="36" t="str">
        <v>Intentional demo DQ case: unsupported SIZE and missing TYPE</v>
      </c>
      <c r="X26" s="24" t="str">
        <v>Active</v>
      </c>
      <c r="Y26" s="24">
        <v>0</v>
      </c>
      <c r="Z26" s="23">
        <v>2</v>
      </c>
      <c r="AA26" s="23">
        <v>0</v>
      </c>
      <c r="AB26" s="23">
        <v>25000</v>
      </c>
      <c r="AC26" s="5" t="str">
        <v>Loaded</v>
      </c>
      <c r="AD26" s="5"/>
      <c r="AE26" s="33">
        <v>46269.395833299997</v>
      </c>
      <c r="AF26" s="24" t="str">
        <v>demo.operator</v>
      </c>
      <c r="AG26" s="24" t="str">
        <v>MV Northstar Demo</v>
      </c>
      <c r="AH26" s="24" t="str">
        <v>NS371</v>
      </c>
      <c r="AI26" s="24" t="str">
        <v>DEMO-BKG-3706</v>
      </c>
      <c r="AJ26" s="36" t="str">
        <v>Synthetic portfolio record</v>
      </c>
      <c r="AK26" s="36" t="str">
        <v>Generated independently for demonstration</v>
      </c>
      <c r="AL26" s="36">
        <v>0</v>
      </c>
      <c r="AM26" s="24" t="str">
        <v>CNTR AMT</v>
      </c>
      <c r="AN26" s="24">
        <v>2</v>
      </c>
      <c r="AO26" s="24">
        <v>3</v>
      </c>
      <c r="AP26" s="23">
        <v>2026</v>
      </c>
      <c r="AQ26" s="23">
        <v>9</v>
      </c>
    </row>
    <row r="27" spans="1:43">
      <c r="A27" s="5"/>
      <c r="B27" s="23">
        <v>37</v>
      </c>
      <c r="C27" s="24" t="str">
        <v>MV Aurora Demo</v>
      </c>
      <c r="D27" s="24" t="str">
        <v>AD371</v>
      </c>
      <c r="E27" s="25">
        <v>46275</v>
      </c>
      <c r="F27" s="25">
        <v>46276</v>
      </c>
      <c r="G27" s="25">
        <v>46273</v>
      </c>
      <c r="H27" s="25">
        <v>46282</v>
      </c>
      <c r="I27" s="36" t="str">
        <v>Synthetic record relocated from Week 36</v>
      </c>
      <c r="J27" s="23" t="str">
        <v>DEMO-BKG-MOVE-01</v>
      </c>
      <c r="K27" s="24" t="str">
        <v>O</v>
      </c>
      <c r="L27" s="24" t="str">
        <v>DEMO-BALTIC</v>
      </c>
      <c r="M27" s="24" t="str">
        <v>Confirmed</v>
      </c>
      <c r="N27" s="30">
        <v>4</v>
      </c>
      <c r="O27" s="24">
        <v>4</v>
      </c>
      <c r="P27" s="24" t="str">
        <v>HC</v>
      </c>
      <c r="Q27" s="23">
        <v>60000</v>
      </c>
      <c r="R27" s="24" t="str">
        <v>Demoport East</v>
      </c>
      <c r="S27" s="24" t="str">
        <v>No</v>
      </c>
      <c r="T27" s="24" t="str">
        <v>DMW</v>
      </c>
      <c r="U27" s="17" t="str">
        <v>Demoport West</v>
      </c>
      <c r="V27" s="36" t="str">
        <v>Northwind Demo Foods</v>
      </c>
      <c r="W27" s="36" t="str">
        <v>Generated independently for demonstration</v>
      </c>
      <c r="X27" s="24" t="str">
        <v>Active</v>
      </c>
      <c r="Y27" s="24">
        <v>0</v>
      </c>
      <c r="Z27" s="23">
        <v>4</v>
      </c>
      <c r="AA27" s="23">
        <v>8</v>
      </c>
      <c r="AB27" s="23">
        <v>60000</v>
      </c>
      <c r="AC27" s="5" t="str">
        <v>Empty</v>
      </c>
      <c r="AD27" s="5"/>
      <c r="AE27" s="33">
        <v>46268.5625</v>
      </c>
      <c r="AF27" s="24" t="str">
        <v>demo.operator</v>
      </c>
      <c r="AG27" s="24" t="str">
        <v>MV Northstar Demo</v>
      </c>
      <c r="AH27" s="24" t="str">
        <v>NS371</v>
      </c>
      <c r="AI27" s="24" t="str">
        <v>DEMO-BKG-3705</v>
      </c>
      <c r="AJ27" s="36" t="str">
        <v>Synthetic portfolio record</v>
      </c>
      <c r="AK27" s="36" t="str">
        <v>Generated independently for demonstration</v>
      </c>
      <c r="AL27" s="36">
        <v>0</v>
      </c>
      <c r="AM27" s="24" t="str">
        <v>Booking status</v>
      </c>
      <c r="AN27" s="24" t="str">
        <v>Tentative</v>
      </c>
      <c r="AO27" s="24" t="str">
        <v>Confirmed</v>
      </c>
      <c r="AP27" s="23">
        <v>2026</v>
      </c>
      <c r="AQ27" s="23">
        <v>9</v>
      </c>
    </row>
    <row r="28" spans="1:43">
      <c r="A28" s="5"/>
      <c r="B28" s="23">
        <v>38</v>
      </c>
      <c r="C28" s="24" t="str">
        <v>MV Aurora Demo</v>
      </c>
      <c r="D28" s="24" t="str">
        <v>AD381</v>
      </c>
      <c r="E28" s="25">
        <v>46281</v>
      </c>
      <c r="F28" s="25">
        <v>46283</v>
      </c>
      <c r="G28" s="25">
        <v>46280</v>
      </c>
      <c r="H28" s="25">
        <v>46289</v>
      </c>
      <c r="I28" s="36" t="str">
        <v>Synthetic portfolio record</v>
      </c>
      <c r="J28" s="23" t="str">
        <v>DEMO-BKG-3801</v>
      </c>
      <c r="K28" s="24" t="str">
        <v>O</v>
      </c>
      <c r="L28" s="24" t="str">
        <v>DEMO-BALTIC</v>
      </c>
      <c r="M28" s="24" t="str">
        <v>Confirmed</v>
      </c>
      <c r="N28" s="30">
        <v>3</v>
      </c>
      <c r="O28" s="24">
        <v>4</v>
      </c>
      <c r="P28" s="24" t="str">
        <v>HC</v>
      </c>
      <c r="Q28" s="23">
        <v>62000</v>
      </c>
      <c r="R28" s="24" t="str">
        <v>Demoport East</v>
      </c>
      <c r="S28" s="24" t="str">
        <v>No</v>
      </c>
      <c r="T28" s="24" t="str">
        <v>DMW</v>
      </c>
      <c r="U28" s="17" t="str">
        <v>Demoport West</v>
      </c>
      <c r="V28" s="36" t="str">
        <v>Northwind Demo Foods</v>
      </c>
      <c r="W28" s="36" t="str">
        <v>Generated independently for demonstration</v>
      </c>
      <c r="X28" s="24" t="str">
        <v>Active</v>
      </c>
      <c r="Y28" s="24">
        <v>0</v>
      </c>
      <c r="Z28" s="23">
        <v>3</v>
      </c>
      <c r="AA28" s="23">
        <v>6</v>
      </c>
      <c r="AB28" s="23">
        <v>62000</v>
      </c>
      <c r="AC28" s="5" t="str">
        <v>Loaded</v>
      </c>
      <c r="AD28" s="5"/>
      <c r="AE28" s="33">
        <v>46268.541666700003</v>
      </c>
      <c r="AF28" s="24" t="str">
        <v>demo.operator</v>
      </c>
      <c r="AG28" s="24" t="str">
        <v>MV Baltic Comet Demo</v>
      </c>
      <c r="AH28" s="24" t="str">
        <v>BC371</v>
      </c>
      <c r="AI28" s="24" t="str">
        <v>DEMO-BKG-3704</v>
      </c>
      <c r="AJ28" s="36" t="str">
        <v>Synthetic portfolio record</v>
      </c>
      <c r="AK28" s="36" t="str">
        <v>Generated independently for demonstration</v>
      </c>
      <c r="AL28" s="36">
        <v>0</v>
      </c>
      <c r="AM28" s="24" t="str">
        <v>ETA T/S</v>
      </c>
      <c r="AN28" s="24" t="str">
        <v>2026-09-17</v>
      </c>
      <c r="AO28" s="24" t="str">
        <v>2026-09-18</v>
      </c>
      <c r="AP28" s="23">
        <v>2026</v>
      </c>
      <c r="AQ28" s="23">
        <v>9</v>
      </c>
    </row>
    <row r="29" spans="1:43">
      <c r="A29" s="5"/>
      <c r="B29" s="23">
        <v>38</v>
      </c>
      <c r="C29" s="24" t="str">
        <v>MV Aurora Demo</v>
      </c>
      <c r="D29" s="24" t="str">
        <v>AD381</v>
      </c>
      <c r="E29" s="25">
        <v>46281</v>
      </c>
      <c r="F29" s="25">
        <v>46283</v>
      </c>
      <c r="G29" s="25">
        <v>46280</v>
      </c>
      <c r="H29" s="25">
        <v>46289</v>
      </c>
      <c r="I29" s="36" t="str">
        <v>Synthetic portfolio record</v>
      </c>
      <c r="J29" s="23" t="str">
        <v>DEMO-BKG-3802</v>
      </c>
      <c r="K29" s="24" t="str">
        <v>O</v>
      </c>
      <c r="L29" s="24" t="str">
        <v>DEMO-BALTIC</v>
      </c>
      <c r="M29" s="24" t="str">
        <v>Confirmed</v>
      </c>
      <c r="N29" s="30">
        <v>1</v>
      </c>
      <c r="O29" s="24">
        <v>2</v>
      </c>
      <c r="P29" s="24" t="str">
        <v>DRY</v>
      </c>
      <c r="Q29" s="23">
        <v>4000</v>
      </c>
      <c r="R29" s="24" t="str">
        <v>Demoport East</v>
      </c>
      <c r="S29" s="24" t="str">
        <v>No</v>
      </c>
      <c r="T29" s="24" t="str">
        <v>DMW</v>
      </c>
      <c r="U29" s="17" t="str">
        <v>Demoport West</v>
      </c>
      <c r="V29" s="36" t="str">
        <v>Contoso Demo Retail</v>
      </c>
      <c r="W29" s="36" t="str">
        <v>Generated independently for demonstration</v>
      </c>
      <c r="X29" s="24" t="str">
        <v>Active</v>
      </c>
      <c r="Y29" s="24">
        <v>0</v>
      </c>
      <c r="Z29" s="23">
        <v>1</v>
      </c>
      <c r="AA29" s="23">
        <v>1</v>
      </c>
      <c r="AB29" s="23">
        <v>4000</v>
      </c>
      <c r="AC29" s="5" t="str">
        <v>Empty</v>
      </c>
      <c r="AD29" s="5"/>
      <c r="AE29" s="33">
        <v>46268.416666700003</v>
      </c>
      <c r="AF29" s="24" t="str">
        <v>demo.operator</v>
      </c>
      <c r="AG29" s="24" t="str">
        <v>MV Aurora Demo</v>
      </c>
      <c r="AH29" s="24" t="str">
        <v>AD371</v>
      </c>
      <c r="AI29" s="24" t="str">
        <v>DEMO-BKG-MOVE-01</v>
      </c>
      <c r="AJ29" s="36" t="str">
        <v>Synthetic record relocated from Week 36</v>
      </c>
      <c r="AK29" s="36" t="str">
        <v>Generated independently for demonstration</v>
      </c>
      <c r="AL29" s="36">
        <v>0</v>
      </c>
      <c r="AM29" s="24" t="str">
        <v>LoadStatus</v>
      </c>
      <c r="AN29" s="24" t="str">
        <v>Loaded</v>
      </c>
      <c r="AO29" s="24" t="str">
        <v>Empty</v>
      </c>
      <c r="AP29" s="23">
        <v>2026</v>
      </c>
      <c r="AQ29" s="23">
        <v>9</v>
      </c>
    </row>
    <row r="30" spans="1:43">
      <c r="A30" s="5"/>
      <c r="B30" s="23">
        <v>38</v>
      </c>
      <c r="C30" s="24" t="str">
        <v>MV Baltic Comet Demo</v>
      </c>
      <c r="D30" s="24" t="str">
        <v>BC381</v>
      </c>
      <c r="E30" s="25">
        <v>46282</v>
      </c>
      <c r="F30" s="25">
        <v>46284</v>
      </c>
      <c r="G30" s="25">
        <v>46281</v>
      </c>
      <c r="H30" s="25">
        <v>46290</v>
      </c>
      <c r="I30" s="36" t="str">
        <v>Synthetic portfolio record</v>
      </c>
      <c r="J30" s="23" t="str">
        <v>DEMO-BKG-3803</v>
      </c>
      <c r="K30" s="24" t="str">
        <v>O</v>
      </c>
      <c r="L30" s="24" t="str">
        <v>DEMO-NORTH</v>
      </c>
      <c r="M30" s="24" t="str">
        <v>Confirmed</v>
      </c>
      <c r="N30" s="30">
        <v>6</v>
      </c>
      <c r="O30" s="24">
        <v>2</v>
      </c>
      <c r="P30" s="24" t="str">
        <v>DRY</v>
      </c>
      <c r="Q30" s="23">
        <v>108000</v>
      </c>
      <c r="R30" s="24" t="str">
        <v>Demoport North</v>
      </c>
      <c r="S30" s="24" t="str">
        <v>No</v>
      </c>
      <c r="T30" s="24" t="str">
        <v>DMS</v>
      </c>
      <c r="U30" s="17" t="str">
        <v>Demoport South</v>
      </c>
      <c r="V30" s="36" t="str">
        <v>Adventure Works Demo</v>
      </c>
      <c r="W30" s="36" t="str">
        <v>Generated independently for demonstration</v>
      </c>
      <c r="X30" s="24" t="str">
        <v>Active</v>
      </c>
      <c r="Y30" s="24">
        <v>0</v>
      </c>
      <c r="Z30" s="23">
        <v>6</v>
      </c>
      <c r="AA30" s="23">
        <v>6</v>
      </c>
      <c r="AB30" s="23">
        <v>108000</v>
      </c>
      <c r="AC30" s="5" t="str">
        <v>Loaded</v>
      </c>
      <c r="AD30" s="5"/>
      <c r="AE30" s="33">
        <v>46267.427083299997</v>
      </c>
      <c r="AF30" s="24" t="str">
        <v>demo.operator</v>
      </c>
      <c r="AG30" s="24" t="str">
        <v>MV Baltic Comet Demo</v>
      </c>
      <c r="AH30" s="24" t="str">
        <v>BC371</v>
      </c>
      <c r="AI30" s="24" t="str">
        <v>DEMO-BKG-3703</v>
      </c>
      <c r="AJ30" s="36" t="str">
        <v>Synthetic portfolio record</v>
      </c>
      <c r="AK30" s="36" t="str">
        <v>Generated independently for demonstration</v>
      </c>
      <c r="AL30" s="36">
        <v>0</v>
      </c>
      <c r="AM30" s="24" t="str">
        <v>GWT</v>
      </c>
      <c r="AN30" s="24">
        <v>86000</v>
      </c>
      <c r="AO30" s="24">
        <v>91000</v>
      </c>
      <c r="AP30" s="23">
        <v>2026</v>
      </c>
      <c r="AQ30" s="23">
        <v>9</v>
      </c>
    </row>
    <row r="31" spans="1:43">
      <c r="A31" s="5"/>
      <c r="B31" s="23">
        <v>38</v>
      </c>
      <c r="C31" s="24" t="str">
        <v>MV Northstar Demo</v>
      </c>
      <c r="D31" s="24" t="str">
        <v>NS381</v>
      </c>
      <c r="E31" s="25">
        <v>46284</v>
      </c>
      <c r="F31" s="25">
        <v>46285</v>
      </c>
      <c r="G31" s="25">
        <v>46283</v>
      </c>
      <c r="H31" s="25">
        <v>0</v>
      </c>
      <c r="I31" s="36" t="str">
        <v>Synthetic portfolio record</v>
      </c>
      <c r="J31" s="23" t="str">
        <v>DEMO-BKG-3804</v>
      </c>
      <c r="K31" s="24" t="str">
        <v>O</v>
      </c>
      <c r="L31" s="24" t="str">
        <v>DEMO-FEEDER</v>
      </c>
      <c r="M31" s="24" t="str">
        <v>Confirmed</v>
      </c>
      <c r="N31" s="30">
        <v>2</v>
      </c>
      <c r="O31" s="24">
        <v>4</v>
      </c>
      <c r="P31" s="24" t="str">
        <v>HC</v>
      </c>
      <c r="Q31" s="23">
        <v>15000</v>
      </c>
      <c r="R31" s="24" t="str">
        <v>Demoport West</v>
      </c>
      <c r="S31" s="24" t="str">
        <v>No</v>
      </c>
      <c r="T31" s="24" t="str">
        <v>DME</v>
      </c>
      <c r="U31" s="17" t="str">
        <v>Demoport East</v>
      </c>
      <c r="V31" s="36" t="str">
        <v>Fabrikam Demo Components</v>
      </c>
      <c r="W31" s="36" t="str">
        <v>Generated independently for demonstration</v>
      </c>
      <c r="X31" s="24" t="str">
        <v>Active</v>
      </c>
      <c r="Y31" s="24">
        <v>0</v>
      </c>
      <c r="Z31" s="23">
        <v>2</v>
      </c>
      <c r="AA31" s="23">
        <v>4</v>
      </c>
      <c r="AB31" s="23">
        <v>15000</v>
      </c>
      <c r="AC31" s="5" t="str">
        <v>Empty</v>
      </c>
      <c r="AD31" s="5"/>
      <c r="AE31" s="33">
        <v>46267.418055599999</v>
      </c>
      <c r="AF31" s="24" t="str">
        <v>demo.operator</v>
      </c>
      <c r="AG31" s="24" t="str">
        <v>MV Baltic Comet Demo</v>
      </c>
      <c r="AH31" s="24" t="str">
        <v>BC371</v>
      </c>
      <c r="AI31" s="24" t="str">
        <v>DEMO-BKG-3703</v>
      </c>
      <c r="AJ31" s="36" t="str">
        <v>Synthetic portfolio record</v>
      </c>
      <c r="AK31" s="36" t="str">
        <v>Generated independently for demonstration</v>
      </c>
      <c r="AL31" s="36">
        <v>0</v>
      </c>
      <c r="AM31" s="24" t="str">
        <v>Voyage</v>
      </c>
      <c r="AN31" s="24" t="str">
        <v>BC370</v>
      </c>
      <c r="AO31" s="24" t="str">
        <v>BC371</v>
      </c>
      <c r="AP31" s="23">
        <v>2026</v>
      </c>
      <c r="AQ31" s="23">
        <v>9</v>
      </c>
    </row>
    <row r="32" spans="1:43">
      <c r="A32" s="5"/>
      <c r="B32" s="23">
        <v>38</v>
      </c>
      <c r="C32" s="24" t="str">
        <v>MV Northstar Demo</v>
      </c>
      <c r="D32" s="24" t="str">
        <v>NS381</v>
      </c>
      <c r="E32" s="25">
        <v>46284</v>
      </c>
      <c r="F32" s="25">
        <v>46285</v>
      </c>
      <c r="G32" s="25">
        <v>46283</v>
      </c>
      <c r="H32" s="25">
        <v>0</v>
      </c>
      <c r="I32" s="36" t="str">
        <v>Synthetic portfolio record</v>
      </c>
      <c r="J32" s="23" t="str">
        <v>DEMO-BKG-3805</v>
      </c>
      <c r="K32" s="24" t="str">
        <v>O</v>
      </c>
      <c r="L32" s="24" t="str">
        <v>DEMO-FEEDER</v>
      </c>
      <c r="M32" s="24" t="str">
        <v>Confirmed</v>
      </c>
      <c r="N32" s="30">
        <v>2</v>
      </c>
      <c r="O32" s="24">
        <v>2</v>
      </c>
      <c r="P32" s="24" t="str">
        <v>REEFER</v>
      </c>
      <c r="Q32" s="23">
        <v>34000</v>
      </c>
      <c r="R32" s="24" t="str">
        <v>Demoport West</v>
      </c>
      <c r="S32" s="24" t="str">
        <v>No</v>
      </c>
      <c r="T32" s="24" t="str">
        <v>DME</v>
      </c>
      <c r="U32" s="17" t="str">
        <v>Demoport East</v>
      </c>
      <c r="V32" s="36" t="str">
        <v>Northwind Demo Foods</v>
      </c>
      <c r="W32" s="36" t="str">
        <v>Generated independently for demonstration</v>
      </c>
      <c r="X32" s="24" t="str">
        <v>Active</v>
      </c>
      <c r="Y32" s="24">
        <v>0</v>
      </c>
      <c r="Z32" s="23">
        <v>2</v>
      </c>
      <c r="AA32" s="23">
        <v>2</v>
      </c>
      <c r="AB32" s="23">
        <v>34000</v>
      </c>
      <c r="AC32" s="5" t="str">
        <v>Loaded</v>
      </c>
      <c r="AD32" s="5"/>
      <c r="AE32" s="33">
        <v>46267.416666700003</v>
      </c>
      <c r="AF32" s="24" t="str">
        <v>demo.operator</v>
      </c>
      <c r="AG32" s="24" t="str">
        <v>MV Baltic Comet Demo</v>
      </c>
      <c r="AH32" s="24" t="str">
        <v>BC371</v>
      </c>
      <c r="AI32" s="24" t="str">
        <v>DEMO-BKG-3703</v>
      </c>
      <c r="AJ32" s="36" t="str">
        <v>Synthetic portfolio record</v>
      </c>
      <c r="AK32" s="36" t="str">
        <v>Generated independently for demonstration</v>
      </c>
      <c r="AL32" s="36">
        <v>0</v>
      </c>
      <c r="AM32" s="24" t="str">
        <v>Vessel</v>
      </c>
      <c r="AN32" s="24" t="str">
        <v>MV Baltic Star Demo</v>
      </c>
      <c r="AO32" s="24" t="str">
        <v>MV Baltic Comet Demo</v>
      </c>
      <c r="AP32" s="23">
        <v>2026</v>
      </c>
      <c r="AQ32" s="23">
        <v>9</v>
      </c>
    </row>
    <row r="33" spans="1:43">
      <c r="A33" s="5"/>
      <c r="B33" s="23">
        <v>38</v>
      </c>
      <c r="C33" s="24" t="str">
        <v>MV Aurora Demo</v>
      </c>
      <c r="D33" s="24" t="str">
        <v>AD381</v>
      </c>
      <c r="E33" s="25">
        <v>46281</v>
      </c>
      <c r="F33" s="25">
        <v>46283</v>
      </c>
      <c r="G33" s="25">
        <v>46280</v>
      </c>
      <c r="H33" s="25">
        <v>46289</v>
      </c>
      <c r="I33" s="36" t="str">
        <v>Synthetic portfolio record</v>
      </c>
      <c r="J33" s="23" t="str">
        <v>DEMO-BKG-3806</v>
      </c>
      <c r="K33" s="24" t="str">
        <v>O</v>
      </c>
      <c r="L33" s="24" t="str">
        <v>DEMO-BALTIC</v>
      </c>
      <c r="M33" s="24" t="str">
        <v>Confirmed</v>
      </c>
      <c r="N33" s="30">
        <v>1</v>
      </c>
      <c r="O33" s="24">
        <v>4</v>
      </c>
      <c r="P33" s="24" t="str">
        <v>HC</v>
      </c>
      <c r="Q33" s="23">
        <v>20000</v>
      </c>
      <c r="R33" s="24" t="str">
        <v>Demoport East</v>
      </c>
      <c r="S33" s="24" t="str">
        <v>No</v>
      </c>
      <c r="T33" s="24" t="str">
        <v>DMW</v>
      </c>
      <c r="U33" s="17" t="str">
        <v>Demoport West</v>
      </c>
      <c r="V33" s="36" t="str">
        <v>Contoso Demo Retail</v>
      </c>
      <c r="W33" s="36" t="str">
        <v>Generated independently for demonstration</v>
      </c>
      <c r="X33" s="24" t="str">
        <v>Cancelled</v>
      </c>
      <c r="Y33" s="24" t="str">
        <v>Synthetic booking withdrawn</v>
      </c>
      <c r="Z33" s="23">
        <v>0</v>
      </c>
      <c r="AA33" s="23">
        <v>0</v>
      </c>
      <c r="AB33" s="23">
        <v>0</v>
      </c>
      <c r="AC33" s="5" t="str">
        <v>Loaded</v>
      </c>
      <c r="AD33" s="5"/>
      <c r="AE33" s="33">
        <v>46267.416666700003</v>
      </c>
      <c r="AF33" s="24" t="str">
        <v>demo.operator</v>
      </c>
      <c r="AG33" s="24" t="str">
        <v>MV Aurora Demo</v>
      </c>
      <c r="AH33" s="24" t="str">
        <v>AD371</v>
      </c>
      <c r="AI33" s="24" t="str">
        <v>DEMO-BKG-MOVE-01</v>
      </c>
      <c r="AJ33" s="36" t="str">
        <v>Synthetic record relocated from Week 36</v>
      </c>
      <c r="AK33" s="36" t="str">
        <v>Generated independently for demonstration</v>
      </c>
      <c r="AL33" s="36">
        <v>0</v>
      </c>
      <c r="AM33" s="24" t="str">
        <v>Week</v>
      </c>
      <c r="AN33" s="24">
        <v>36</v>
      </c>
      <c r="AO33" s="24">
        <v>37</v>
      </c>
      <c r="AP33" s="23">
        <v>2026</v>
      </c>
      <c r="AQ33" s="23">
        <v>9</v>
      </c>
    </row>
    <row r="34" spans="1:43">
      <c r="A34" s="5"/>
      <c r="B34" s="23"/>
      <c r="C34" s="24"/>
      <c r="D34" s="24"/>
      <c r="E34" s="25"/>
      <c r="F34" s="25"/>
      <c r="G34" s="25"/>
      <c r="H34" s="25"/>
      <c r="I34" s="36"/>
      <c r="J34" s="23"/>
      <c r="K34" s="24"/>
      <c r="L34" s="24"/>
      <c r="M34" s="24"/>
      <c r="N34" s="30"/>
      <c r="O34" s="24"/>
      <c r="P34" s="24"/>
      <c r="Q34" s="23"/>
      <c r="R34" s="24"/>
      <c r="S34" s="24"/>
      <c r="T34" s="24"/>
      <c r="U34" s="17"/>
      <c r="V34" s="36"/>
      <c r="W34" s="36"/>
      <c r="X34" s="24"/>
      <c r="Y34" s="24"/>
      <c r="Z34" s="23"/>
      <c r="AA34" s="23"/>
      <c r="AB34" s="23"/>
      <c r="AC34" s="5"/>
      <c r="AD34" s="5"/>
      <c r="AE34" s="33">
        <v>46266.416666700003</v>
      </c>
      <c r="AF34" s="24" t="str">
        <v>demo.operator</v>
      </c>
      <c r="AG34" s="24" t="str">
        <v>MV Aurora Demo</v>
      </c>
      <c r="AH34" s="24" t="str">
        <v>AD371</v>
      </c>
      <c r="AI34" s="24" t="str">
        <v>DEMO-BKG-MOVE-01</v>
      </c>
      <c r="AJ34" s="36" t="str">
        <v>Synthetic record relocated from Week 36</v>
      </c>
      <c r="AK34" s="36" t="str">
        <v>Generated independently for demonstration</v>
      </c>
      <c r="AL34" s="36">
        <v>0</v>
      </c>
      <c r="AM34" s="24" t="str">
        <v>GWT</v>
      </c>
      <c r="AN34" s="24">
        <v>58000</v>
      </c>
      <c r="AO34" s="24">
        <v>60000</v>
      </c>
      <c r="AP34" s="23">
        <v>2026</v>
      </c>
      <c r="AQ34" s="23">
        <v>9</v>
      </c>
    </row>
    <row r="35" spans="1:43">
      <c r="A35" s="5"/>
      <c r="B35" s="23"/>
      <c r="C35" s="24"/>
      <c r="D35" s="24"/>
      <c r="E35" s="25"/>
      <c r="F35" s="25"/>
      <c r="G35" s="25"/>
      <c r="H35" s="25"/>
      <c r="I35" s="36"/>
      <c r="J35" s="23"/>
      <c r="K35" s="24"/>
      <c r="L35" s="24"/>
      <c r="M35" s="24"/>
      <c r="N35" s="30"/>
      <c r="O35" s="24"/>
      <c r="P35" s="24"/>
      <c r="Q35" s="23"/>
      <c r="R35" s="24"/>
      <c r="S35" s="24"/>
      <c r="T35" s="24"/>
      <c r="U35" s="17"/>
      <c r="V35" s="36"/>
      <c r="W35" s="36"/>
      <c r="X35" s="24"/>
      <c r="Y35" s="24"/>
      <c r="Z35" s="23"/>
      <c r="AA35" s="23"/>
      <c r="AB35" s="23"/>
      <c r="AC35" s="5"/>
      <c r="AD35" s="5"/>
      <c r="AE35" s="33">
        <v>46266.381944399996</v>
      </c>
      <c r="AF35" s="24" t="str">
        <v>demo.operator</v>
      </c>
      <c r="AG35" s="24" t="str">
        <v>MV Aurora Demo</v>
      </c>
      <c r="AH35" s="24" t="str">
        <v>AD371</v>
      </c>
      <c r="AI35" s="24" t="str">
        <v>DEMO-BKG-3702</v>
      </c>
      <c r="AJ35" s="36" t="str">
        <v>Synthetic portfolio record</v>
      </c>
      <c r="AK35" s="36" t="str">
        <v>Generated independently for demonstration</v>
      </c>
      <c r="AL35" s="36">
        <v>0</v>
      </c>
      <c r="AM35" s="24" t="str">
        <v>LoadStatus</v>
      </c>
      <c r="AN35" s="24" t="str">
        <v>Loaded</v>
      </c>
      <c r="AO35" s="24" t="str">
        <v>Empty</v>
      </c>
      <c r="AP35" s="23">
        <v>2026</v>
      </c>
      <c r="AQ35" s="23">
        <v>9</v>
      </c>
    </row>
    <row r="36" spans="1:43">
      <c r="A36" s="5"/>
      <c r="B36" s="23"/>
      <c r="C36" s="24"/>
      <c r="D36" s="24"/>
      <c r="E36" s="25"/>
      <c r="F36" s="25"/>
      <c r="G36" s="25"/>
      <c r="H36" s="25"/>
      <c r="I36" s="36"/>
      <c r="J36" s="23"/>
      <c r="K36" s="24"/>
      <c r="L36" s="24"/>
      <c r="M36" s="24"/>
      <c r="N36" s="30"/>
      <c r="O36" s="24"/>
      <c r="P36" s="24"/>
      <c r="Q36" s="23"/>
      <c r="R36" s="24"/>
      <c r="S36" s="24"/>
      <c r="T36" s="24"/>
      <c r="U36" s="17"/>
      <c r="V36" s="36"/>
      <c r="W36" s="36"/>
      <c r="X36" s="24"/>
      <c r="Y36" s="24"/>
      <c r="Z36" s="23"/>
      <c r="AA36" s="23"/>
      <c r="AB36" s="23"/>
      <c r="AC36" s="5"/>
      <c r="AD36" s="5"/>
      <c r="AE36" s="33">
        <v>46266.364583299997</v>
      </c>
      <c r="AF36" s="24" t="str">
        <v>demo.operator</v>
      </c>
      <c r="AG36" s="24" t="str">
        <v>MV Aurora Demo</v>
      </c>
      <c r="AH36" s="24" t="str">
        <v>AD371</v>
      </c>
      <c r="AI36" s="24" t="str">
        <v>DEMO-BKG-3701</v>
      </c>
      <c r="AJ36" s="36" t="str">
        <v>Synthetic portfolio record</v>
      </c>
      <c r="AK36" s="36" t="str">
        <v>Generated independently for demonstration</v>
      </c>
      <c r="AL36" s="36">
        <v>0</v>
      </c>
      <c r="AM36" s="24" t="str">
        <v>CNTR AMT</v>
      </c>
      <c r="AN36" s="24">
        <v>3</v>
      </c>
      <c r="AO36" s="24">
        <v>4</v>
      </c>
      <c r="AP36" s="23">
        <v>2026</v>
      </c>
      <c r="AQ36" s="23">
        <v>9</v>
      </c>
    </row>
    <row r="37" spans="1:43">
      <c r="A37" s="5"/>
      <c r="B37" s="23"/>
      <c r="C37" s="24"/>
      <c r="D37" s="24"/>
      <c r="E37" s="25"/>
      <c r="F37" s="25"/>
      <c r="G37" s="25"/>
      <c r="H37" s="25"/>
      <c r="I37" s="36"/>
      <c r="J37" s="23"/>
      <c r="K37" s="24"/>
      <c r="L37" s="24"/>
      <c r="M37" s="24"/>
      <c r="N37" s="30"/>
      <c r="O37" s="24"/>
      <c r="P37" s="24"/>
      <c r="Q37" s="23"/>
      <c r="R37" s="24"/>
      <c r="S37" s="24"/>
      <c r="T37" s="24"/>
      <c r="U37" s="17"/>
      <c r="V37" s="36"/>
      <c r="W37" s="36"/>
      <c r="X37" s="24"/>
      <c r="Y37" s="24"/>
      <c r="Z37" s="23"/>
      <c r="AA37" s="23"/>
      <c r="AB37" s="23"/>
      <c r="AC37" s="5"/>
      <c r="AD37" s="5"/>
      <c r="AE37" s="33">
        <v>46266.354166700003</v>
      </c>
      <c r="AF37" s="24" t="str">
        <v>demo.operator</v>
      </c>
      <c r="AG37" s="24" t="str">
        <v>MV Aurora Demo</v>
      </c>
      <c r="AH37" s="24" t="str">
        <v>AD371</v>
      </c>
      <c r="AI37" s="24" t="str">
        <v>DEMO-BKG-3701</v>
      </c>
      <c r="AJ37" s="36" t="str">
        <v>Synthetic portfolio record</v>
      </c>
      <c r="AK37" s="36" t="str">
        <v>Generated independently for demonstration</v>
      </c>
      <c r="AL37" s="36">
        <v>0</v>
      </c>
      <c r="AM37" s="24" t="str">
        <v>ETA</v>
      </c>
      <c r="AN37" s="24" t="str">
        <v>2026-09-08</v>
      </c>
      <c r="AO37" s="24" t="str">
        <v>2026-09-09</v>
      </c>
      <c r="AP37" s="23">
        <v>2026</v>
      </c>
      <c r="AQ37" s="23">
        <v>9</v>
      </c>
    </row>
    <row r="38" spans="1:43">
      <c r="A38" s="5"/>
      <c r="B38" s="23"/>
      <c r="C38" s="24"/>
      <c r="D38" s="24"/>
      <c r="E38" s="25"/>
      <c r="F38" s="25"/>
      <c r="G38" s="25"/>
      <c r="H38" s="25"/>
      <c r="I38" s="36"/>
      <c r="J38" s="23"/>
      <c r="K38" s="24"/>
      <c r="L38" s="24"/>
      <c r="M38" s="24"/>
      <c r="N38" s="30"/>
      <c r="O38" s="24"/>
      <c r="P38" s="24"/>
      <c r="Q38" s="23"/>
      <c r="R38" s="24"/>
      <c r="S38" s="24"/>
      <c r="T38" s="24"/>
      <c r="U38" s="17"/>
      <c r="V38" s="36"/>
      <c r="W38" s="36"/>
      <c r="X38" s="24"/>
      <c r="Y38" s="24"/>
      <c r="Z38" s="23"/>
      <c r="AA38" s="23"/>
      <c r="AB38" s="23"/>
      <c r="AC38" s="5"/>
      <c r="AD38" s="5"/>
      <c r="AE38" s="33">
        <v>46262.479166700003</v>
      </c>
      <c r="AF38" s="24" t="str">
        <v>demo.operator</v>
      </c>
      <c r="AG38" s="24" t="str">
        <v>MV Northstar Demo</v>
      </c>
      <c r="AH38" s="24" t="str">
        <v>NS361</v>
      </c>
      <c r="AI38" s="24" t="str">
        <v>DEMO-BKG-3607</v>
      </c>
      <c r="AJ38" s="36" t="str">
        <v>Synthetic portfolio record</v>
      </c>
      <c r="AK38" s="36" t="str">
        <v>Generated independently for demonstration</v>
      </c>
      <c r="AL38" s="36">
        <v>0</v>
      </c>
      <c r="AM38" s="24" t="str">
        <v>ETA</v>
      </c>
      <c r="AN38" s="24" t="str">
        <v>2026-09-04</v>
      </c>
      <c r="AO38" s="24" t="str">
        <v>2026-09-05</v>
      </c>
      <c r="AP38" s="23">
        <v>2026</v>
      </c>
      <c r="AQ38" s="23">
        <v>8</v>
      </c>
    </row>
    <row r="39" spans="1:43">
      <c r="A39" s="5"/>
      <c r="B39" s="23"/>
      <c r="C39" s="24"/>
      <c r="D39" s="24"/>
      <c r="E39" s="25"/>
      <c r="F39" s="25"/>
      <c r="G39" s="25"/>
      <c r="H39" s="25"/>
      <c r="I39" s="36"/>
      <c r="J39" s="23"/>
      <c r="K39" s="24"/>
      <c r="L39" s="24"/>
      <c r="M39" s="24"/>
      <c r="N39" s="30"/>
      <c r="O39" s="24"/>
      <c r="P39" s="24"/>
      <c r="Q39" s="23"/>
      <c r="R39" s="24"/>
      <c r="S39" s="24"/>
      <c r="T39" s="24"/>
      <c r="U39" s="17"/>
      <c r="V39" s="36"/>
      <c r="W39" s="36"/>
      <c r="X39" s="24"/>
      <c r="Y39" s="24"/>
      <c r="Z39" s="23"/>
      <c r="AA39" s="23"/>
      <c r="AB39" s="23"/>
      <c r="AC39" s="5"/>
      <c r="AD39" s="5"/>
      <c r="AE39" s="33">
        <v>46261.594444399998</v>
      </c>
      <c r="AF39" s="24" t="str">
        <v>demo.operator</v>
      </c>
      <c r="AG39" s="24" t="str">
        <v>MV Baltic Comet Demo</v>
      </c>
      <c r="AH39" s="24" t="str">
        <v>BC361</v>
      </c>
      <c r="AI39" s="24" t="str">
        <v>DEMO-BKG-3606</v>
      </c>
      <c r="AJ39" s="36" t="str">
        <v>Synthetic portfolio record</v>
      </c>
      <c r="AK39" s="36" t="str">
        <v>Generated independently for demonstration</v>
      </c>
      <c r="AL39" s="36" t="str">
        <v>Synthetic customer cancellation</v>
      </c>
      <c r="AM39" s="24" t="str">
        <v>CancelReason</v>
      </c>
      <c r="AN39" s="24">
        <v>0</v>
      </c>
      <c r="AO39" s="24" t="str">
        <v>Synthetic customer cancellation</v>
      </c>
      <c r="AP39" s="23">
        <v>2026</v>
      </c>
      <c r="AQ39" s="23">
        <v>8</v>
      </c>
    </row>
    <row r="40" spans="1:43">
      <c r="A40" s="5"/>
      <c r="B40" s="23"/>
      <c r="C40" s="24"/>
      <c r="D40" s="24"/>
      <c r="E40" s="25"/>
      <c r="F40" s="25"/>
      <c r="G40" s="25"/>
      <c r="H40" s="25"/>
      <c r="I40" s="36"/>
      <c r="J40" s="23"/>
      <c r="K40" s="24"/>
      <c r="L40" s="24"/>
      <c r="M40" s="24"/>
      <c r="N40" s="30"/>
      <c r="O40" s="24"/>
      <c r="P40" s="24"/>
      <c r="Q40" s="23"/>
      <c r="R40" s="24"/>
      <c r="S40" s="24"/>
      <c r="T40" s="24"/>
      <c r="U40" s="17"/>
      <c r="V40" s="36"/>
      <c r="W40" s="36"/>
      <c r="X40" s="24"/>
      <c r="Y40" s="24"/>
      <c r="Z40" s="23"/>
      <c r="AA40" s="23"/>
      <c r="AB40" s="23"/>
      <c r="AC40" s="5"/>
      <c r="AD40" s="5"/>
      <c r="AE40" s="33">
        <v>46261.59375</v>
      </c>
      <c r="AF40" s="24" t="str">
        <v>demo.operator</v>
      </c>
      <c r="AG40" s="24" t="str">
        <v>MV Baltic Comet Demo</v>
      </c>
      <c r="AH40" s="24" t="str">
        <v>BC361</v>
      </c>
      <c r="AI40" s="24" t="str">
        <v>DEMO-BKG-3606</v>
      </c>
      <c r="AJ40" s="36" t="str">
        <v>Synthetic portfolio record</v>
      </c>
      <c r="AK40" s="36" t="str">
        <v>Generated independently for demonstration</v>
      </c>
      <c r="AL40" s="36" t="str">
        <v>Synthetic customer cancellation</v>
      </c>
      <c r="AM40" s="24" t="str">
        <v>RowStatus</v>
      </c>
      <c r="AN40" s="24" t="str">
        <v>Active</v>
      </c>
      <c r="AO40" s="24" t="str">
        <v>Cancelled</v>
      </c>
      <c r="AP40" s="23">
        <v>2026</v>
      </c>
      <c r="AQ40" s="23">
        <v>8</v>
      </c>
    </row>
    <row r="41" spans="1:43">
      <c r="A41" s="5"/>
      <c r="B41" s="23"/>
      <c r="C41" s="24"/>
      <c r="D41" s="24"/>
      <c r="E41" s="25"/>
      <c r="F41" s="25"/>
      <c r="G41" s="25"/>
      <c r="H41" s="25"/>
      <c r="I41" s="36"/>
      <c r="J41" s="23"/>
      <c r="K41" s="24"/>
      <c r="L41" s="24"/>
      <c r="M41" s="24"/>
      <c r="N41" s="30"/>
      <c r="O41" s="24"/>
      <c r="P41" s="24"/>
      <c r="Q41" s="23"/>
      <c r="R41" s="24"/>
      <c r="S41" s="24"/>
      <c r="T41" s="24"/>
      <c r="U41" s="17"/>
      <c r="V41" s="36"/>
      <c r="W41" s="36"/>
      <c r="X41" s="24"/>
      <c r="Y41" s="24"/>
      <c r="Z41" s="23"/>
      <c r="AA41" s="23"/>
      <c r="AB41" s="23"/>
      <c r="AC41" s="5"/>
      <c r="AD41" s="5"/>
      <c r="AE41" s="33">
        <v>46260.364583299997</v>
      </c>
      <c r="AF41" s="24" t="str">
        <v>demo.operator</v>
      </c>
      <c r="AG41" s="24" t="str">
        <v>MV Baltic Comet Demo</v>
      </c>
      <c r="AH41" s="24" t="str">
        <v>BC361</v>
      </c>
      <c r="AI41" s="24" t="str">
        <v>DEMO-BKG-3604</v>
      </c>
      <c r="AJ41" s="36" t="str">
        <v>Synthetic portfolio record</v>
      </c>
      <c r="AK41" s="36" t="str">
        <v>Generated independently for demonstration</v>
      </c>
      <c r="AL41" s="36">
        <v>0</v>
      </c>
      <c r="AM41" s="24" t="str">
        <v>Cut-Off</v>
      </c>
      <c r="AN41" s="24" t="str">
        <v>2026-09-01</v>
      </c>
      <c r="AO41" s="24" t="str">
        <v>2026-09-02</v>
      </c>
      <c r="AP41" s="23">
        <v>2026</v>
      </c>
      <c r="AQ41" s="23">
        <v>8</v>
      </c>
    </row>
    <row r="42" spans="1:43">
      <c r="A42" s="5"/>
      <c r="B42" s="23"/>
      <c r="C42" s="24"/>
      <c r="D42" s="24"/>
      <c r="E42" s="25"/>
      <c r="F42" s="25"/>
      <c r="G42" s="25"/>
      <c r="H42" s="25"/>
      <c r="I42" s="36"/>
      <c r="J42" s="23"/>
      <c r="K42" s="24"/>
      <c r="L42" s="24"/>
      <c r="M42" s="24"/>
      <c r="N42" s="30"/>
      <c r="O42" s="24"/>
      <c r="P42" s="24"/>
      <c r="Q42" s="23"/>
      <c r="R42" s="24"/>
      <c r="S42" s="24"/>
      <c r="T42" s="24"/>
      <c r="U42" s="17"/>
      <c r="V42" s="36"/>
      <c r="W42" s="36"/>
      <c r="X42" s="24"/>
      <c r="Y42" s="24"/>
      <c r="Z42" s="23"/>
      <c r="AA42" s="23"/>
      <c r="AB42" s="23"/>
      <c r="AC42" s="5"/>
      <c r="AD42" s="5"/>
      <c r="AE42" s="33">
        <v>46259.430555600004</v>
      </c>
      <c r="AF42" s="24" t="str">
        <v>demo.operator</v>
      </c>
      <c r="AG42" s="24" t="str">
        <v>MV Aurora Demo</v>
      </c>
      <c r="AH42" s="24" t="str">
        <v>AD361</v>
      </c>
      <c r="AI42" s="24" t="str">
        <v>DEMO-BKG-3602</v>
      </c>
      <c r="AJ42" s="36" t="str">
        <v>Synthetic portfolio record</v>
      </c>
      <c r="AK42" s="36" t="str">
        <v>Generated independently for demonstration</v>
      </c>
      <c r="AL42" s="36">
        <v>0</v>
      </c>
      <c r="AM42" s="24" t="str">
        <v>SIZE</v>
      </c>
      <c r="AN42" s="24">
        <v>2</v>
      </c>
      <c r="AO42" s="24">
        <v>4</v>
      </c>
      <c r="AP42" s="23">
        <v>2026</v>
      </c>
      <c r="AQ42" s="23">
        <v>8</v>
      </c>
    </row>
    <row r="43" spans="1:43">
      <c r="A43" s="5"/>
      <c r="B43" s="23"/>
      <c r="C43" s="24"/>
      <c r="D43" s="24"/>
      <c r="E43" s="25"/>
      <c r="F43" s="25"/>
      <c r="G43" s="25"/>
      <c r="H43" s="25"/>
      <c r="I43" s="36"/>
      <c r="J43" s="23"/>
      <c r="K43" s="24"/>
      <c r="L43" s="24"/>
      <c r="M43" s="24"/>
      <c r="N43" s="30"/>
      <c r="O43" s="24"/>
      <c r="P43" s="24"/>
      <c r="Q43" s="23"/>
      <c r="R43" s="24"/>
      <c r="S43" s="24"/>
      <c r="T43" s="24"/>
      <c r="U43" s="17"/>
      <c r="V43" s="36"/>
      <c r="W43" s="36"/>
      <c r="X43" s="24"/>
      <c r="Y43" s="24"/>
      <c r="Z43" s="23"/>
      <c r="AA43" s="23"/>
      <c r="AB43" s="23"/>
      <c r="AC43" s="5"/>
      <c r="AD43" s="5"/>
      <c r="AE43" s="33">
        <v>46259.416666700003</v>
      </c>
      <c r="AF43" s="24" t="str">
        <v>demo.operator</v>
      </c>
      <c r="AG43" s="24" t="str">
        <v>MV Aurora Demo</v>
      </c>
      <c r="AH43" s="24" t="str">
        <v>AD361</v>
      </c>
      <c r="AI43" s="24" t="str">
        <v>DEMO-BKG-3602</v>
      </c>
      <c r="AJ43" s="36" t="str">
        <v>Synthetic portfolio record</v>
      </c>
      <c r="AK43" s="36" t="str">
        <v>Generated independently for demonstration</v>
      </c>
      <c r="AL43" s="36">
        <v>0</v>
      </c>
      <c r="AM43" s="24" t="str">
        <v>LoadStatus</v>
      </c>
      <c r="AN43" s="24" t="str">
        <v>Loaded</v>
      </c>
      <c r="AO43" s="24" t="str">
        <v>Empty</v>
      </c>
      <c r="AP43" s="23">
        <v>2026</v>
      </c>
      <c r="AQ43" s="23">
        <v>8</v>
      </c>
    </row>
    <row r="44" spans="1:43">
      <c r="A44" s="5"/>
      <c r="B44" s="23"/>
      <c r="C44" s="24"/>
      <c r="D44" s="24"/>
      <c r="E44" s="25"/>
      <c r="F44" s="25"/>
      <c r="G44" s="25"/>
      <c r="H44" s="25"/>
      <c r="I44" s="36"/>
      <c r="J44" s="23"/>
      <c r="K44" s="24"/>
      <c r="L44" s="24"/>
      <c r="M44" s="24"/>
      <c r="N44" s="30"/>
      <c r="O44" s="24"/>
      <c r="P44" s="24"/>
      <c r="Q44" s="23"/>
      <c r="R44" s="24"/>
      <c r="S44" s="24"/>
      <c r="T44" s="24"/>
      <c r="U44" s="17"/>
      <c r="V44" s="36"/>
      <c r="W44" s="36"/>
      <c r="X44" s="24"/>
      <c r="Y44" s="24"/>
      <c r="Z44" s="23"/>
      <c r="AA44" s="23"/>
      <c r="AB44" s="23"/>
      <c r="AC44" s="5"/>
      <c r="AD44" s="5"/>
      <c r="AE44" s="33">
        <v>46258.402777800002</v>
      </c>
      <c r="AF44" s="24" t="str">
        <v>demo.operator</v>
      </c>
      <c r="AG44" s="24" t="str">
        <v>MV Aurora Demo</v>
      </c>
      <c r="AH44" s="24" t="str">
        <v>AD361</v>
      </c>
      <c r="AI44" s="24" t="str">
        <v>DEMO-BKG-3601</v>
      </c>
      <c r="AJ44" s="36" t="str">
        <v>Synthetic portfolio record</v>
      </c>
      <c r="AK44" s="36" t="str">
        <v>Generated independently for demonstration</v>
      </c>
      <c r="AL44" s="36">
        <v>0</v>
      </c>
      <c r="AM44" s="24" t="str">
        <v>GWT</v>
      </c>
      <c r="AN44" s="24">
        <v>50000</v>
      </c>
      <c r="AO44" s="24">
        <v>54000</v>
      </c>
      <c r="AP44" s="23">
        <v>2026</v>
      </c>
      <c r="AQ44" s="23">
        <v>8</v>
      </c>
    </row>
    <row r="45" spans="1:43">
      <c r="A45" s="5"/>
      <c r="B45" s="23"/>
      <c r="C45" s="24"/>
      <c r="D45" s="24"/>
      <c r="E45" s="25"/>
      <c r="F45" s="25"/>
      <c r="G45" s="25"/>
      <c r="H45" s="25"/>
      <c r="I45" s="36"/>
      <c r="J45" s="23"/>
      <c r="K45" s="24"/>
      <c r="L45" s="24"/>
      <c r="M45" s="24"/>
      <c r="N45" s="30"/>
      <c r="O45" s="24"/>
      <c r="P45" s="24"/>
      <c r="Q45" s="23"/>
      <c r="R45" s="24"/>
      <c r="S45" s="24"/>
      <c r="T45" s="24"/>
      <c r="U45" s="17"/>
      <c r="V45" s="36"/>
      <c r="W45" s="36"/>
      <c r="X45" s="24"/>
      <c r="Y45" s="24"/>
      <c r="Z45" s="23"/>
      <c r="AA45" s="23"/>
      <c r="AB45" s="23"/>
      <c r="AC45" s="5"/>
      <c r="AD45" s="5"/>
      <c r="AE45" s="33">
        <v>46258.392361099999</v>
      </c>
      <c r="AF45" s="24" t="str">
        <v>demo.operator</v>
      </c>
      <c r="AG45" s="24" t="str">
        <v>MV Aurora Demo</v>
      </c>
      <c r="AH45" s="24" t="str">
        <v>AD361</v>
      </c>
      <c r="AI45" s="24" t="str">
        <v>DEMO-BKG-3601</v>
      </c>
      <c r="AJ45" s="36" t="str">
        <v>Synthetic portfolio record</v>
      </c>
      <c r="AK45" s="36" t="str">
        <v>Generated independently for demonstration</v>
      </c>
      <c r="AL45" s="36">
        <v>0</v>
      </c>
      <c r="AM45" s="24" t="str">
        <v>CNTR AMT</v>
      </c>
      <c r="AN45" s="24">
        <v>2</v>
      </c>
      <c r="AO45" s="24">
        <v>3</v>
      </c>
      <c r="AP45" s="23">
        <v>2026</v>
      </c>
      <c r="AQ45" s="23">
        <v>8</v>
      </c>
    </row>
    <row r="46" spans="1:43">
      <c r="A46" s="5"/>
      <c r="B46" s="23"/>
      <c r="C46" s="24"/>
      <c r="D46" s="24"/>
      <c r="E46" s="25"/>
      <c r="F46" s="25"/>
      <c r="G46" s="25"/>
      <c r="H46" s="25"/>
      <c r="I46" s="36"/>
      <c r="J46" s="23"/>
      <c r="K46" s="24"/>
      <c r="L46" s="24"/>
      <c r="M46" s="24"/>
      <c r="N46" s="30"/>
      <c r="O46" s="24"/>
      <c r="P46" s="24"/>
      <c r="Q46" s="23"/>
      <c r="R46" s="24"/>
      <c r="S46" s="24"/>
      <c r="T46" s="24"/>
      <c r="U46" s="17"/>
      <c r="V46" s="36"/>
      <c r="W46" s="36"/>
      <c r="X46" s="24"/>
      <c r="Y46" s="24"/>
      <c r="Z46" s="23"/>
      <c r="AA46" s="23"/>
      <c r="AB46" s="23"/>
      <c r="AC46" s="5"/>
      <c r="AD46" s="5"/>
      <c r="AE46" s="33">
        <v>46258.381944399996</v>
      </c>
      <c r="AF46" s="24" t="str">
        <v>demo.operator</v>
      </c>
      <c r="AG46" s="24" t="str">
        <v>MV Aurora Demo</v>
      </c>
      <c r="AH46" s="24" t="str">
        <v>AD361</v>
      </c>
      <c r="AI46" s="24" t="str">
        <v>DEMO-BKG-3601</v>
      </c>
      <c r="AJ46" s="36" t="str">
        <v>Synthetic portfolio record</v>
      </c>
      <c r="AK46" s="36" t="str">
        <v>Generated independently for demonstration</v>
      </c>
      <c r="AL46" s="36">
        <v>0</v>
      </c>
      <c r="AM46" s="24" t="str">
        <v>ETA</v>
      </c>
      <c r="AN46" s="24" t="str">
        <v>2026-09-01</v>
      </c>
      <c r="AO46" s="24" t="str">
        <v>2026-09-02</v>
      </c>
      <c r="AP46" s="23">
        <v>2026</v>
      </c>
      <c r="AQ46" s="23">
        <v>8</v>
      </c>
    </row>
    <row r="47" spans="1:43">
      <c r="A47" s="5"/>
      <c r="B47" s="23"/>
      <c r="C47" s="24"/>
      <c r="D47" s="24"/>
      <c r="E47" s="25"/>
      <c r="F47" s="25"/>
      <c r="G47" s="25"/>
      <c r="H47" s="25"/>
      <c r="I47" s="36"/>
      <c r="J47" s="23"/>
      <c r="K47" s="24"/>
      <c r="L47" s="24"/>
      <c r="M47" s="24"/>
      <c r="N47" s="30"/>
      <c r="O47" s="24"/>
      <c r="P47" s="24"/>
      <c r="Q47" s="23"/>
      <c r="R47" s="24"/>
      <c r="S47" s="24"/>
      <c r="T47" s="24"/>
      <c r="U47" s="17"/>
      <c r="V47" s="36"/>
      <c r="W47" s="36"/>
      <c r="X47" s="24"/>
      <c r="Y47" s="24"/>
      <c r="Z47" s="23"/>
      <c r="AA47" s="23"/>
      <c r="AB47" s="23"/>
      <c r="AC47" s="5"/>
      <c r="AD47" s="5"/>
      <c r="AE47" s="33"/>
      <c r="AF47" s="24"/>
      <c r="AG47" s="24"/>
      <c r="AH47" s="24"/>
      <c r="AI47" s="24"/>
      <c r="AJ47" s="36"/>
      <c r="AK47" s="36"/>
      <c r="AL47" s="36"/>
      <c r="AM47" s="24"/>
      <c r="AN47" s="24"/>
      <c r="AO47" s="24"/>
      <c r="AP47" s="23"/>
      <c r="AQ47" s="23"/>
    </row>
    <row r="48" spans="1:43">
      <c r="A48" s="5"/>
      <c r="B48" s="23"/>
      <c r="C48" s="24"/>
      <c r="D48" s="24"/>
      <c r="E48" s="25"/>
      <c r="F48" s="25"/>
      <c r="G48" s="25"/>
      <c r="H48" s="25"/>
      <c r="I48" s="36"/>
      <c r="J48" s="23"/>
      <c r="K48" s="24"/>
      <c r="L48" s="24"/>
      <c r="M48" s="24"/>
      <c r="N48" s="30"/>
      <c r="O48" s="24"/>
      <c r="P48" s="24"/>
      <c r="Q48" s="23"/>
      <c r="R48" s="24"/>
      <c r="S48" s="24"/>
      <c r="T48" s="24"/>
      <c r="U48" s="17"/>
      <c r="V48" s="36"/>
      <c r="W48" s="36"/>
      <c r="X48" s="24"/>
      <c r="Y48" s="24"/>
      <c r="Z48" s="23"/>
      <c r="AA48" s="23"/>
      <c r="AB48" s="23"/>
      <c r="AC48" s="5"/>
      <c r="AD48" s="5"/>
      <c r="AE48" s="33"/>
      <c r="AF48" s="24"/>
      <c r="AG48" s="24"/>
      <c r="AH48" s="24"/>
      <c r="AI48" s="24"/>
      <c r="AJ48" s="36"/>
      <c r="AK48" s="36"/>
      <c r="AL48" s="36"/>
      <c r="AM48" s="24"/>
      <c r="AN48" s="24"/>
      <c r="AO48" s="24"/>
      <c r="AP48" s="23"/>
      <c r="AQ48" s="23"/>
    </row>
    <row r="49" spans="1:43">
      <c r="A49" s="5"/>
      <c r="B49" s="23"/>
      <c r="C49" s="24"/>
      <c r="D49" s="24"/>
      <c r="E49" s="25"/>
      <c r="F49" s="25"/>
      <c r="G49" s="25"/>
      <c r="H49" s="25"/>
      <c r="I49" s="36"/>
      <c r="J49" s="23"/>
      <c r="K49" s="24"/>
      <c r="L49" s="24"/>
      <c r="M49" s="24"/>
      <c r="N49" s="30"/>
      <c r="O49" s="24"/>
      <c r="P49" s="24"/>
      <c r="Q49" s="23"/>
      <c r="R49" s="24"/>
      <c r="S49" s="24"/>
      <c r="T49" s="24"/>
      <c r="U49" s="17"/>
      <c r="V49" s="36"/>
      <c r="W49" s="36"/>
      <c r="X49" s="24"/>
      <c r="Y49" s="24"/>
      <c r="Z49" s="23"/>
      <c r="AA49" s="23"/>
      <c r="AB49" s="23"/>
      <c r="AC49" s="5"/>
      <c r="AD49" s="5"/>
      <c r="AE49" s="33"/>
      <c r="AF49" s="24"/>
      <c r="AG49" s="24"/>
      <c r="AH49" s="24"/>
      <c r="AI49" s="24"/>
      <c r="AJ49" s="36"/>
      <c r="AK49" s="36"/>
      <c r="AL49" s="36"/>
      <c r="AM49" s="24"/>
      <c r="AN49" s="24"/>
      <c r="AO49" s="24"/>
      <c r="AP49" s="23"/>
      <c r="AQ49" s="23"/>
    </row>
    <row r="50" spans="1:43">
      <c r="A50" s="5"/>
      <c r="B50" s="23"/>
      <c r="C50" s="24"/>
      <c r="D50" s="24"/>
      <c r="E50" s="25"/>
      <c r="F50" s="25"/>
      <c r="G50" s="25"/>
      <c r="H50" s="25"/>
      <c r="I50" s="36"/>
      <c r="J50" s="23"/>
      <c r="K50" s="24"/>
      <c r="L50" s="24"/>
      <c r="M50" s="24"/>
      <c r="N50" s="30"/>
      <c r="O50" s="24"/>
      <c r="P50" s="24"/>
      <c r="Q50" s="23"/>
      <c r="R50" s="24"/>
      <c r="S50" s="24"/>
      <c r="T50" s="24"/>
      <c r="U50" s="17"/>
      <c r="V50" s="36"/>
      <c r="W50" s="36"/>
      <c r="X50" s="24"/>
      <c r="Y50" s="24"/>
      <c r="Z50" s="23"/>
      <c r="AA50" s="23"/>
      <c r="AB50" s="23"/>
      <c r="AC50" s="5"/>
      <c r="AD50" s="5"/>
      <c r="AE50" s="33"/>
      <c r="AF50" s="24"/>
      <c r="AG50" s="24"/>
      <c r="AH50" s="24"/>
      <c r="AI50" s="24"/>
      <c r="AJ50" s="36"/>
      <c r="AK50" s="36"/>
      <c r="AL50" s="36"/>
      <c r="AM50" s="24"/>
      <c r="AN50" s="24"/>
      <c r="AO50" s="24"/>
      <c r="AP50" s="23"/>
      <c r="AQ50" s="23"/>
    </row>
    <row r="51" spans="1:43">
      <c r="A51" s="5"/>
      <c r="B51" s="23"/>
      <c r="C51" s="24"/>
      <c r="D51" s="24"/>
      <c r="E51" s="25"/>
      <c r="F51" s="25"/>
      <c r="G51" s="25"/>
      <c r="H51" s="25"/>
      <c r="I51" s="36"/>
      <c r="J51" s="23"/>
      <c r="K51" s="24"/>
      <c r="L51" s="24"/>
      <c r="M51" s="24"/>
      <c r="N51" s="30"/>
      <c r="O51" s="24"/>
      <c r="P51" s="24"/>
      <c r="Q51" s="23"/>
      <c r="R51" s="24"/>
      <c r="S51" s="24"/>
      <c r="T51" s="24"/>
      <c r="U51" s="17"/>
      <c r="V51" s="36"/>
      <c r="W51" s="36"/>
      <c r="X51" s="24"/>
      <c r="Y51" s="24"/>
      <c r="Z51" s="23"/>
      <c r="AA51" s="23"/>
      <c r="AB51" s="23"/>
      <c r="AC51" s="5"/>
      <c r="AD51" s="5"/>
      <c r="AE51" s="33"/>
      <c r="AF51" s="24"/>
      <c r="AG51" s="24"/>
      <c r="AH51" s="24"/>
      <c r="AI51" s="24"/>
      <c r="AJ51" s="36"/>
      <c r="AK51" s="36"/>
      <c r="AL51" s="36"/>
      <c r="AM51" s="24"/>
      <c r="AN51" s="24"/>
      <c r="AO51" s="24"/>
      <c r="AP51" s="23"/>
      <c r="AQ51" s="23"/>
    </row>
    <row r="52" spans="1:43">
      <c r="A52" s="5"/>
      <c r="B52" s="23"/>
      <c r="C52" s="24"/>
      <c r="D52" s="24"/>
      <c r="E52" s="25"/>
      <c r="F52" s="25"/>
      <c r="G52" s="25"/>
      <c r="H52" s="25"/>
      <c r="I52" s="36"/>
      <c r="J52" s="23"/>
      <c r="K52" s="24"/>
      <c r="L52" s="24"/>
      <c r="M52" s="24"/>
      <c r="N52" s="30"/>
      <c r="O52" s="24"/>
      <c r="P52" s="24"/>
      <c r="Q52" s="23"/>
      <c r="R52" s="24"/>
      <c r="S52" s="24"/>
      <c r="T52" s="24"/>
      <c r="U52" s="17"/>
      <c r="V52" s="36"/>
      <c r="W52" s="36"/>
      <c r="X52" s="24"/>
      <c r="Y52" s="24"/>
      <c r="Z52" s="23"/>
      <c r="AA52" s="23"/>
      <c r="AB52" s="23"/>
      <c r="AC52" s="5"/>
      <c r="AD52" s="5"/>
      <c r="AE52" s="33"/>
      <c r="AF52" s="24"/>
      <c r="AG52" s="24"/>
      <c r="AH52" s="24"/>
      <c r="AI52" s="24"/>
      <c r="AJ52" s="36"/>
      <c r="AK52" s="36"/>
      <c r="AL52" s="36"/>
      <c r="AM52" s="24"/>
      <c r="AN52" s="24"/>
      <c r="AO52" s="24"/>
      <c r="AP52" s="23"/>
      <c r="AQ52" s="23"/>
    </row>
    <row r="53" spans="1:43">
      <c r="A53" s="5"/>
      <c r="B53" s="23"/>
      <c r="C53" s="24"/>
      <c r="D53" s="24"/>
      <c r="E53" s="25"/>
      <c r="F53" s="25"/>
      <c r="G53" s="25"/>
      <c r="H53" s="25"/>
      <c r="I53" s="36"/>
      <c r="J53" s="23"/>
      <c r="K53" s="24"/>
      <c r="L53" s="24"/>
      <c r="M53" s="24"/>
      <c r="N53" s="30"/>
      <c r="O53" s="24"/>
      <c r="P53" s="24"/>
      <c r="Q53" s="23"/>
      <c r="R53" s="24"/>
      <c r="S53" s="24"/>
      <c r="T53" s="24"/>
      <c r="U53" s="17"/>
      <c r="V53" s="36"/>
      <c r="W53" s="36"/>
      <c r="X53" s="24"/>
      <c r="Y53" s="24"/>
      <c r="Z53" s="23"/>
      <c r="AA53" s="23"/>
      <c r="AB53" s="23"/>
      <c r="AC53" s="5"/>
      <c r="AD53" s="5"/>
      <c r="AE53" s="33"/>
      <c r="AF53" s="24"/>
      <c r="AG53" s="24"/>
      <c r="AH53" s="24"/>
      <c r="AI53" s="24"/>
      <c r="AJ53" s="36"/>
      <c r="AK53" s="36"/>
      <c r="AL53" s="36"/>
      <c r="AM53" s="24"/>
      <c r="AN53" s="24"/>
      <c r="AO53" s="24"/>
      <c r="AP53" s="23"/>
      <c r="AQ53" s="23"/>
    </row>
    <row r="54" spans="1:43">
      <c r="A54" s="5"/>
      <c r="B54" s="23"/>
      <c r="C54" s="24"/>
      <c r="D54" s="24"/>
      <c r="E54" s="25"/>
      <c r="F54" s="25"/>
      <c r="G54" s="25"/>
      <c r="H54" s="25"/>
      <c r="I54" s="36"/>
      <c r="J54" s="23"/>
      <c r="K54" s="24"/>
      <c r="L54" s="24"/>
      <c r="M54" s="24"/>
      <c r="N54" s="30"/>
      <c r="O54" s="24"/>
      <c r="P54" s="24"/>
      <c r="Q54" s="23"/>
      <c r="R54" s="24"/>
      <c r="S54" s="24"/>
      <c r="T54" s="24"/>
      <c r="U54" s="17"/>
      <c r="V54" s="36"/>
      <c r="W54" s="36"/>
      <c r="X54" s="24"/>
      <c r="Y54" s="24"/>
      <c r="Z54" s="23"/>
      <c r="AA54" s="23"/>
      <c r="AB54" s="23"/>
      <c r="AC54" s="5"/>
      <c r="AD54" s="5"/>
      <c r="AE54" s="33"/>
      <c r="AF54" s="24"/>
      <c r="AG54" s="24"/>
      <c r="AH54" s="24"/>
      <c r="AI54" s="24"/>
      <c r="AJ54" s="36"/>
      <c r="AK54" s="36"/>
      <c r="AL54" s="36"/>
      <c r="AM54" s="24"/>
      <c r="AN54" s="24"/>
      <c r="AO54" s="24"/>
      <c r="AP54" s="23"/>
      <c r="AQ54" s="23"/>
    </row>
    <row r="55" spans="1:43">
      <c r="A55" s="5"/>
      <c r="B55" s="23"/>
      <c r="C55" s="24"/>
      <c r="D55" s="24"/>
      <c r="E55" s="25"/>
      <c r="F55" s="25"/>
      <c r="G55" s="25"/>
      <c r="H55" s="25"/>
      <c r="I55" s="36"/>
      <c r="J55" s="23"/>
      <c r="K55" s="24"/>
      <c r="L55" s="24"/>
      <c r="M55" s="24"/>
      <c r="N55" s="30"/>
      <c r="O55" s="24"/>
      <c r="P55" s="24"/>
      <c r="Q55" s="23"/>
      <c r="R55" s="24"/>
      <c r="S55" s="24"/>
      <c r="T55" s="24"/>
      <c r="U55" s="17"/>
      <c r="V55" s="36"/>
      <c r="W55" s="36"/>
      <c r="X55" s="24"/>
      <c r="Y55" s="24"/>
      <c r="Z55" s="23"/>
      <c r="AA55" s="23"/>
      <c r="AB55" s="23"/>
      <c r="AC55" s="5"/>
      <c r="AD55" s="5"/>
      <c r="AE55" s="33"/>
      <c r="AF55" s="24"/>
      <c r="AG55" s="24"/>
      <c r="AH55" s="24"/>
      <c r="AI55" s="24"/>
      <c r="AJ55" s="36"/>
      <c r="AK55" s="36"/>
      <c r="AL55" s="36"/>
      <c r="AM55" s="24"/>
      <c r="AN55" s="24"/>
      <c r="AO55" s="24"/>
      <c r="AP55" s="23"/>
      <c r="AQ55" s="23"/>
    </row>
    <row r="56" spans="1:43">
      <c r="A56" s="5"/>
      <c r="B56" s="23"/>
      <c r="C56" s="24"/>
      <c r="D56" s="24"/>
      <c r="E56" s="25"/>
      <c r="F56" s="25"/>
      <c r="G56" s="25"/>
      <c r="H56" s="25"/>
      <c r="I56" s="36"/>
      <c r="J56" s="23"/>
      <c r="K56" s="24"/>
      <c r="L56" s="24"/>
      <c r="M56" s="24"/>
      <c r="N56" s="30"/>
      <c r="O56" s="24"/>
      <c r="P56" s="24"/>
      <c r="Q56" s="23"/>
      <c r="R56" s="24"/>
      <c r="S56" s="24"/>
      <c r="T56" s="24"/>
      <c r="U56" s="17"/>
      <c r="V56" s="36"/>
      <c r="W56" s="36"/>
      <c r="X56" s="24"/>
      <c r="Y56" s="24"/>
      <c r="Z56" s="23"/>
      <c r="AA56" s="23"/>
      <c r="AB56" s="23"/>
      <c r="AC56" s="5"/>
      <c r="AD56" s="5"/>
      <c r="AE56" s="33"/>
      <c r="AF56" s="24"/>
      <c r="AG56" s="24"/>
      <c r="AH56" s="24"/>
      <c r="AI56" s="24"/>
      <c r="AJ56" s="36"/>
      <c r="AK56" s="36"/>
      <c r="AL56" s="36"/>
      <c r="AM56" s="24"/>
      <c r="AN56" s="24"/>
      <c r="AO56" s="24"/>
      <c r="AP56" s="23"/>
      <c r="AQ56" s="23"/>
    </row>
    <row r="57" spans="1:43">
      <c r="A57" s="5"/>
      <c r="B57" s="23"/>
      <c r="C57" s="24"/>
      <c r="D57" s="24"/>
      <c r="E57" s="25"/>
      <c r="F57" s="25"/>
      <c r="G57" s="25"/>
      <c r="H57" s="25"/>
      <c r="I57" s="36"/>
      <c r="J57" s="23"/>
      <c r="K57" s="24"/>
      <c r="L57" s="24"/>
      <c r="M57" s="24"/>
      <c r="N57" s="30"/>
      <c r="O57" s="24"/>
      <c r="P57" s="24"/>
      <c r="Q57" s="23"/>
      <c r="R57" s="24"/>
      <c r="S57" s="24"/>
      <c r="T57" s="24"/>
      <c r="U57" s="17"/>
      <c r="V57" s="36"/>
      <c r="W57" s="36"/>
      <c r="X57" s="24"/>
      <c r="Y57" s="24"/>
      <c r="Z57" s="23"/>
      <c r="AA57" s="23"/>
      <c r="AB57" s="23"/>
      <c r="AC57" s="5"/>
      <c r="AD57" s="5"/>
      <c r="AE57" s="33"/>
      <c r="AF57" s="24"/>
      <c r="AG57" s="24"/>
      <c r="AH57" s="24"/>
      <c r="AI57" s="24"/>
      <c r="AJ57" s="36"/>
      <c r="AK57" s="36"/>
      <c r="AL57" s="36"/>
      <c r="AM57" s="24"/>
      <c r="AN57" s="24"/>
      <c r="AO57" s="24"/>
      <c r="AP57" s="23"/>
      <c r="AQ57" s="23"/>
    </row>
    <row r="58" spans="1:43">
      <c r="A58" s="5"/>
      <c r="B58" s="23"/>
      <c r="C58" s="24"/>
      <c r="D58" s="24"/>
      <c r="E58" s="25"/>
      <c r="F58" s="25"/>
      <c r="G58" s="25"/>
      <c r="H58" s="25"/>
      <c r="I58" s="36"/>
      <c r="J58" s="23"/>
      <c r="K58" s="24"/>
      <c r="L58" s="24"/>
      <c r="M58" s="24"/>
      <c r="N58" s="30"/>
      <c r="O58" s="24"/>
      <c r="P58" s="24"/>
      <c r="Q58" s="23"/>
      <c r="R58" s="24"/>
      <c r="S58" s="24"/>
      <c r="T58" s="24"/>
      <c r="U58" s="17"/>
      <c r="V58" s="36"/>
      <c r="W58" s="36"/>
      <c r="X58" s="24"/>
      <c r="Y58" s="24"/>
      <c r="Z58" s="23"/>
      <c r="AA58" s="23"/>
      <c r="AB58" s="23"/>
      <c r="AC58" s="5"/>
      <c r="AD58" s="5"/>
      <c r="AE58" s="33"/>
      <c r="AF58" s="24"/>
      <c r="AG58" s="24"/>
      <c r="AH58" s="24"/>
      <c r="AI58" s="24"/>
      <c r="AJ58" s="36"/>
      <c r="AK58" s="36"/>
      <c r="AL58" s="36"/>
      <c r="AM58" s="24"/>
      <c r="AN58" s="24"/>
      <c r="AO58" s="24"/>
      <c r="AP58" s="23"/>
      <c r="AQ58" s="23"/>
    </row>
    <row r="59" spans="1:43">
      <c r="A59" s="5"/>
      <c r="B59" s="23"/>
      <c r="C59" s="24"/>
      <c r="D59" s="24"/>
      <c r="E59" s="25"/>
      <c r="F59" s="25"/>
      <c r="G59" s="25"/>
      <c r="H59" s="25"/>
      <c r="I59" s="36"/>
      <c r="J59" s="23"/>
      <c r="K59" s="24"/>
      <c r="L59" s="24"/>
      <c r="M59" s="24"/>
      <c r="N59" s="30"/>
      <c r="O59" s="24"/>
      <c r="P59" s="24"/>
      <c r="Q59" s="23"/>
      <c r="R59" s="24"/>
      <c r="S59" s="24"/>
      <c r="T59" s="24"/>
      <c r="U59" s="17"/>
      <c r="V59" s="36"/>
      <c r="W59" s="36"/>
      <c r="X59" s="24"/>
      <c r="Y59" s="24"/>
      <c r="Z59" s="23"/>
      <c r="AA59" s="23"/>
      <c r="AB59" s="23"/>
      <c r="AC59" s="5"/>
      <c r="AD59" s="5"/>
      <c r="AE59" s="33"/>
      <c r="AF59" s="24"/>
      <c r="AG59" s="24"/>
      <c r="AH59" s="24"/>
      <c r="AI59" s="24"/>
      <c r="AJ59" s="36"/>
      <c r="AK59" s="36"/>
      <c r="AL59" s="36"/>
      <c r="AM59" s="24"/>
      <c r="AN59" s="24"/>
      <c r="AO59" s="24"/>
      <c r="AP59" s="23"/>
      <c r="AQ59" s="23"/>
    </row>
    <row r="60" spans="1:43">
      <c r="A60" s="5"/>
      <c r="B60" s="23"/>
      <c r="C60" s="24"/>
      <c r="D60" s="24"/>
      <c r="E60" s="25"/>
      <c r="F60" s="25"/>
      <c r="G60" s="25"/>
      <c r="H60" s="25"/>
      <c r="I60" s="36"/>
      <c r="J60" s="23"/>
      <c r="K60" s="24"/>
      <c r="L60" s="24"/>
      <c r="M60" s="24"/>
      <c r="N60" s="30"/>
      <c r="O60" s="24"/>
      <c r="P60" s="24"/>
      <c r="Q60" s="23"/>
      <c r="R60" s="24"/>
      <c r="S60" s="24"/>
      <c r="T60" s="24"/>
      <c r="U60" s="17"/>
      <c r="V60" s="36"/>
      <c r="W60" s="36"/>
      <c r="X60" s="24"/>
      <c r="Y60" s="24"/>
      <c r="Z60" s="23"/>
      <c r="AA60" s="23"/>
      <c r="AB60" s="23"/>
      <c r="AC60" s="5"/>
      <c r="AD60" s="5"/>
      <c r="AE60" s="33"/>
      <c r="AF60" s="24"/>
      <c r="AG60" s="24"/>
      <c r="AH60" s="24"/>
      <c r="AI60" s="24"/>
      <c r="AJ60" s="36"/>
      <c r="AK60" s="36"/>
      <c r="AL60" s="36"/>
      <c r="AM60" s="24"/>
      <c r="AN60" s="24"/>
      <c r="AO60" s="24"/>
      <c r="AP60" s="23"/>
      <c r="AQ60" s="23"/>
    </row>
    <row r="61" spans="1:43">
      <c r="A61" s="5"/>
      <c r="B61" s="23"/>
      <c r="C61" s="24"/>
      <c r="D61" s="24"/>
      <c r="E61" s="25"/>
      <c r="F61" s="25"/>
      <c r="G61" s="25"/>
      <c r="H61" s="25"/>
      <c r="I61" s="36"/>
      <c r="J61" s="23"/>
      <c r="K61" s="24"/>
      <c r="L61" s="24"/>
      <c r="M61" s="24"/>
      <c r="N61" s="30"/>
      <c r="O61" s="24"/>
      <c r="P61" s="24"/>
      <c r="Q61" s="23"/>
      <c r="R61" s="24"/>
      <c r="S61" s="24"/>
      <c r="T61" s="24"/>
      <c r="U61" s="17"/>
      <c r="V61" s="36"/>
      <c r="W61" s="36"/>
      <c r="X61" s="24"/>
      <c r="Y61" s="24"/>
      <c r="Z61" s="23"/>
      <c r="AA61" s="23"/>
      <c r="AB61" s="23"/>
      <c r="AC61" s="5"/>
      <c r="AD61" s="5"/>
      <c r="AE61" s="33"/>
      <c r="AF61" s="24"/>
      <c r="AG61" s="24"/>
      <c r="AH61" s="24"/>
      <c r="AI61" s="24"/>
      <c r="AJ61" s="36"/>
      <c r="AK61" s="36"/>
      <c r="AL61" s="36"/>
      <c r="AM61" s="24"/>
      <c r="AN61" s="24"/>
      <c r="AO61" s="24"/>
      <c r="AP61" s="23"/>
      <c r="AQ61" s="23"/>
    </row>
    <row r="62" spans="1:43">
      <c r="A62" s="5"/>
      <c r="B62" s="23"/>
      <c r="C62" s="24"/>
      <c r="D62" s="24"/>
      <c r="E62" s="25"/>
      <c r="F62" s="25"/>
      <c r="G62" s="25"/>
      <c r="H62" s="25"/>
      <c r="I62" s="36"/>
      <c r="J62" s="23"/>
      <c r="K62" s="24"/>
      <c r="L62" s="24"/>
      <c r="M62" s="24"/>
      <c r="N62" s="30"/>
      <c r="O62" s="24"/>
      <c r="P62" s="24"/>
      <c r="Q62" s="23"/>
      <c r="R62" s="24"/>
      <c r="S62" s="24"/>
      <c r="T62" s="24"/>
      <c r="U62" s="17"/>
      <c r="V62" s="36"/>
      <c r="W62" s="36"/>
      <c r="X62" s="24"/>
      <c r="Y62" s="24"/>
      <c r="Z62" s="23"/>
      <c r="AA62" s="23"/>
      <c r="AB62" s="23"/>
      <c r="AC62" s="5"/>
      <c r="AD62" s="5"/>
      <c r="AE62" s="33"/>
      <c r="AF62" s="24"/>
      <c r="AG62" s="24"/>
      <c r="AH62" s="24"/>
      <c r="AI62" s="24"/>
      <c r="AJ62" s="36"/>
      <c r="AK62" s="36"/>
      <c r="AL62" s="36"/>
      <c r="AM62" s="24"/>
      <c r="AN62" s="24"/>
      <c r="AO62" s="24"/>
      <c r="AP62" s="23"/>
      <c r="AQ62" s="23"/>
    </row>
    <row r="63" spans="1:43">
      <c r="A63" s="5"/>
      <c r="B63" s="23"/>
      <c r="C63" s="24"/>
      <c r="D63" s="24"/>
      <c r="E63" s="25"/>
      <c r="F63" s="25"/>
      <c r="G63" s="25"/>
      <c r="H63" s="25"/>
      <c r="I63" s="36"/>
      <c r="J63" s="23"/>
      <c r="K63" s="24"/>
      <c r="L63" s="24"/>
      <c r="M63" s="24"/>
      <c r="N63" s="30"/>
      <c r="O63" s="24"/>
      <c r="P63" s="24"/>
      <c r="Q63" s="23"/>
      <c r="R63" s="24"/>
      <c r="S63" s="24"/>
      <c r="T63" s="24"/>
      <c r="U63" s="17"/>
      <c r="V63" s="36"/>
      <c r="W63" s="36"/>
      <c r="X63" s="24"/>
      <c r="Y63" s="24"/>
      <c r="Z63" s="23"/>
      <c r="AA63" s="23"/>
      <c r="AB63" s="23"/>
      <c r="AC63" s="5"/>
      <c r="AD63" s="5"/>
      <c r="AE63" s="33"/>
      <c r="AF63" s="24"/>
      <c r="AG63" s="24"/>
      <c r="AH63" s="24"/>
      <c r="AI63" s="24"/>
      <c r="AJ63" s="36"/>
      <c r="AK63" s="36"/>
      <c r="AL63" s="36"/>
      <c r="AM63" s="24"/>
      <c r="AN63" s="24"/>
      <c r="AO63" s="24"/>
      <c r="AP63" s="23"/>
      <c r="AQ63" s="23"/>
    </row>
    <row r="64" spans="1:43">
      <c r="A64" s="5"/>
      <c r="B64" s="23"/>
      <c r="C64" s="24"/>
      <c r="D64" s="24"/>
      <c r="E64" s="25"/>
      <c r="F64" s="25"/>
      <c r="G64" s="25"/>
      <c r="H64" s="25"/>
      <c r="I64" s="36"/>
      <c r="J64" s="23"/>
      <c r="K64" s="24"/>
      <c r="L64" s="24"/>
      <c r="M64" s="24"/>
      <c r="N64" s="30"/>
      <c r="O64" s="24"/>
      <c r="P64" s="24"/>
      <c r="Q64" s="23"/>
      <c r="R64" s="24"/>
      <c r="S64" s="24"/>
      <c r="T64" s="24"/>
      <c r="U64" s="17"/>
      <c r="V64" s="36"/>
      <c r="W64" s="36"/>
      <c r="X64" s="24"/>
      <c r="Y64" s="24"/>
      <c r="Z64" s="23"/>
      <c r="AA64" s="23"/>
      <c r="AB64" s="23"/>
      <c r="AC64" s="5"/>
      <c r="AD64" s="5"/>
      <c r="AE64" s="33"/>
      <c r="AF64" s="24"/>
      <c r="AG64" s="24"/>
      <c r="AH64" s="24"/>
      <c r="AI64" s="24"/>
      <c r="AJ64" s="36"/>
      <c r="AK64" s="36"/>
      <c r="AL64" s="36"/>
      <c r="AM64" s="24"/>
      <c r="AN64" s="24"/>
      <c r="AO64" s="24"/>
      <c r="AP64" s="23"/>
      <c r="AQ64" s="23"/>
    </row>
    <row r="65" spans="1:43">
      <c r="A65" s="5"/>
      <c r="B65" s="23"/>
      <c r="C65" s="24"/>
      <c r="D65" s="24"/>
      <c r="E65" s="25"/>
      <c r="F65" s="25"/>
      <c r="G65" s="25"/>
      <c r="H65" s="25"/>
      <c r="I65" s="36"/>
      <c r="J65" s="23"/>
      <c r="K65" s="24"/>
      <c r="L65" s="24"/>
      <c r="M65" s="24"/>
      <c r="N65" s="30"/>
      <c r="O65" s="24"/>
      <c r="P65" s="24"/>
      <c r="Q65" s="23"/>
      <c r="R65" s="24"/>
      <c r="S65" s="24"/>
      <c r="T65" s="24"/>
      <c r="U65" s="17"/>
      <c r="V65" s="36"/>
      <c r="W65" s="36"/>
      <c r="X65" s="24"/>
      <c r="Y65" s="24"/>
      <c r="Z65" s="23"/>
      <c r="AA65" s="23"/>
      <c r="AB65" s="23"/>
      <c r="AC65" s="5"/>
      <c r="AD65" s="5"/>
      <c r="AE65" s="33"/>
      <c r="AF65" s="24"/>
      <c r="AG65" s="24"/>
      <c r="AH65" s="24"/>
      <c r="AI65" s="24"/>
      <c r="AJ65" s="36"/>
      <c r="AK65" s="36"/>
      <c r="AL65" s="36"/>
      <c r="AM65" s="24"/>
      <c r="AN65" s="24"/>
      <c r="AO65" s="24"/>
      <c r="AP65" s="23"/>
      <c r="AQ65" s="23"/>
    </row>
    <row r="66" spans="1:43">
      <c r="A66" s="5"/>
      <c r="B66" s="23"/>
      <c r="C66" s="24"/>
      <c r="D66" s="24"/>
      <c r="E66" s="25"/>
      <c r="F66" s="25"/>
      <c r="G66" s="25"/>
      <c r="H66" s="25"/>
      <c r="I66" s="36"/>
      <c r="J66" s="23"/>
      <c r="K66" s="24"/>
      <c r="L66" s="24"/>
      <c r="M66" s="24"/>
      <c r="N66" s="30"/>
      <c r="O66" s="24"/>
      <c r="P66" s="24"/>
      <c r="Q66" s="23"/>
      <c r="R66" s="24"/>
      <c r="S66" s="24"/>
      <c r="T66" s="24"/>
      <c r="U66" s="17"/>
      <c r="V66" s="36"/>
      <c r="W66" s="36"/>
      <c r="X66" s="24"/>
      <c r="Y66" s="24"/>
      <c r="Z66" s="23"/>
      <c r="AA66" s="23"/>
      <c r="AB66" s="23"/>
      <c r="AC66" s="5"/>
      <c r="AD66" s="5"/>
      <c r="AE66" s="33"/>
      <c r="AF66" s="24"/>
      <c r="AG66" s="24"/>
      <c r="AH66" s="24"/>
      <c r="AI66" s="24"/>
      <c r="AJ66" s="36"/>
      <c r="AK66" s="36"/>
      <c r="AL66" s="36"/>
      <c r="AM66" s="24"/>
      <c r="AN66" s="24"/>
      <c r="AO66" s="24"/>
      <c r="AP66" s="23"/>
      <c r="AQ66" s="23"/>
    </row>
    <row r="67" spans="1:43">
      <c r="A67" s="5"/>
      <c r="B67" s="23"/>
      <c r="C67" s="24"/>
      <c r="D67" s="24"/>
      <c r="E67" s="25"/>
      <c r="F67" s="25"/>
      <c r="G67" s="25"/>
      <c r="H67" s="25"/>
      <c r="I67" s="36"/>
      <c r="J67" s="23"/>
      <c r="K67" s="24"/>
      <c r="L67" s="24"/>
      <c r="M67" s="24"/>
      <c r="N67" s="30"/>
      <c r="O67" s="24"/>
      <c r="P67" s="24"/>
      <c r="Q67" s="23"/>
      <c r="R67" s="24"/>
      <c r="S67" s="24"/>
      <c r="T67" s="24"/>
      <c r="U67" s="17"/>
      <c r="V67" s="36"/>
      <c r="W67" s="36"/>
      <c r="X67" s="24"/>
      <c r="Y67" s="24"/>
      <c r="Z67" s="23"/>
      <c r="AA67" s="23"/>
      <c r="AB67" s="23"/>
      <c r="AC67" s="5"/>
      <c r="AD67" s="5"/>
      <c r="AE67" s="33"/>
      <c r="AF67" s="24"/>
      <c r="AG67" s="24"/>
      <c r="AH67" s="24"/>
      <c r="AI67" s="24"/>
      <c r="AJ67" s="36"/>
      <c r="AK67" s="36"/>
      <c r="AL67" s="36"/>
      <c r="AM67" s="24"/>
      <c r="AN67" s="24"/>
      <c r="AO67" s="24"/>
      <c r="AP67" s="23"/>
      <c r="AQ67" s="23"/>
    </row>
    <row r="68" spans="1:43">
      <c r="A68" s="5"/>
      <c r="B68" s="23"/>
      <c r="C68" s="24"/>
      <c r="D68" s="24"/>
      <c r="E68" s="25"/>
      <c r="F68" s="25"/>
      <c r="G68" s="25"/>
      <c r="H68" s="25"/>
      <c r="I68" s="36"/>
      <c r="J68" s="23"/>
      <c r="K68" s="24"/>
      <c r="L68" s="24"/>
      <c r="M68" s="24"/>
      <c r="N68" s="30"/>
      <c r="O68" s="24"/>
      <c r="P68" s="24"/>
      <c r="Q68" s="23"/>
      <c r="R68" s="24"/>
      <c r="S68" s="24"/>
      <c r="T68" s="24"/>
      <c r="U68" s="17"/>
      <c r="V68" s="36"/>
      <c r="W68" s="36"/>
      <c r="X68" s="24"/>
      <c r="Y68" s="24"/>
      <c r="Z68" s="23"/>
      <c r="AA68" s="23"/>
      <c r="AB68" s="23"/>
      <c r="AC68" s="5"/>
      <c r="AD68" s="5"/>
      <c r="AE68" s="33"/>
      <c r="AF68" s="24"/>
      <c r="AG68" s="24"/>
      <c r="AH68" s="24"/>
      <c r="AI68" s="24"/>
      <c r="AJ68" s="36"/>
      <c r="AK68" s="36"/>
      <c r="AL68" s="36"/>
      <c r="AM68" s="24"/>
      <c r="AN68" s="24"/>
      <c r="AO68" s="24"/>
      <c r="AP68" s="23"/>
      <c r="AQ68" s="23"/>
    </row>
    <row r="69" spans="1:43">
      <c r="A69" s="5"/>
      <c r="B69" s="23"/>
      <c r="C69" s="24"/>
      <c r="D69" s="24"/>
      <c r="E69" s="25"/>
      <c r="F69" s="25"/>
      <c r="G69" s="25"/>
      <c r="H69" s="25"/>
      <c r="I69" s="36"/>
      <c r="J69" s="23"/>
      <c r="K69" s="24"/>
      <c r="L69" s="24"/>
      <c r="M69" s="24"/>
      <c r="N69" s="30"/>
      <c r="O69" s="24"/>
      <c r="P69" s="24"/>
      <c r="Q69" s="23"/>
      <c r="R69" s="24"/>
      <c r="S69" s="24"/>
      <c r="T69" s="24"/>
      <c r="U69" s="17"/>
      <c r="V69" s="36"/>
      <c r="W69" s="36"/>
      <c r="X69" s="24"/>
      <c r="Y69" s="24"/>
      <c r="Z69" s="23"/>
      <c r="AA69" s="23"/>
      <c r="AB69" s="23"/>
      <c r="AC69" s="5"/>
      <c r="AD69" s="5"/>
      <c r="AE69" s="33"/>
      <c r="AF69" s="24"/>
      <c r="AG69" s="24"/>
      <c r="AH69" s="24"/>
      <c r="AI69" s="24"/>
      <c r="AJ69" s="36"/>
      <c r="AK69" s="36"/>
      <c r="AL69" s="36"/>
      <c r="AM69" s="24"/>
      <c r="AN69" s="24"/>
      <c r="AO69" s="24"/>
      <c r="AP69" s="23"/>
      <c r="AQ69" s="23"/>
    </row>
    <row r="70" spans="1:43">
      <c r="A70" s="5"/>
      <c r="B70" s="23"/>
      <c r="C70" s="24"/>
      <c r="D70" s="24"/>
      <c r="E70" s="25"/>
      <c r="F70" s="25"/>
      <c r="G70" s="25"/>
      <c r="H70" s="25"/>
      <c r="I70" s="36"/>
      <c r="J70" s="23"/>
      <c r="K70" s="24"/>
      <c r="L70" s="24"/>
      <c r="M70" s="24"/>
      <c r="N70" s="30"/>
      <c r="O70" s="24"/>
      <c r="P70" s="24"/>
      <c r="Q70" s="23"/>
      <c r="R70" s="24"/>
      <c r="S70" s="24"/>
      <c r="T70" s="24"/>
      <c r="U70" s="17"/>
      <c r="V70" s="36"/>
      <c r="W70" s="36"/>
      <c r="X70" s="24"/>
      <c r="Y70" s="24"/>
      <c r="Z70" s="23"/>
      <c r="AA70" s="23"/>
      <c r="AB70" s="23"/>
      <c r="AC70" s="5"/>
      <c r="AD70" s="5"/>
      <c r="AE70" s="33"/>
      <c r="AF70" s="24"/>
      <c r="AG70" s="24"/>
      <c r="AH70" s="24"/>
      <c r="AI70" s="24"/>
      <c r="AJ70" s="36"/>
      <c r="AK70" s="36"/>
      <c r="AL70" s="36"/>
      <c r="AM70" s="24"/>
      <c r="AN70" s="24"/>
      <c r="AO70" s="24"/>
      <c r="AP70" s="23"/>
      <c r="AQ70" s="23"/>
    </row>
    <row r="71" spans="1:43">
      <c r="A71" s="5"/>
      <c r="B71" s="23"/>
      <c r="C71" s="24"/>
      <c r="D71" s="24"/>
      <c r="E71" s="25"/>
      <c r="F71" s="25"/>
      <c r="G71" s="25"/>
      <c r="H71" s="25"/>
      <c r="I71" s="36"/>
      <c r="J71" s="23"/>
      <c r="K71" s="24"/>
      <c r="L71" s="24"/>
      <c r="M71" s="24"/>
      <c r="N71" s="30"/>
      <c r="O71" s="24"/>
      <c r="P71" s="24"/>
      <c r="Q71" s="23"/>
      <c r="R71" s="24"/>
      <c r="S71" s="24"/>
      <c r="T71" s="24"/>
      <c r="U71" s="17"/>
      <c r="V71" s="36"/>
      <c r="W71" s="36"/>
      <c r="X71" s="24"/>
      <c r="Y71" s="24"/>
      <c r="Z71" s="23"/>
      <c r="AA71" s="23"/>
      <c r="AB71" s="23"/>
      <c r="AC71" s="5"/>
      <c r="AD71" s="5"/>
      <c r="AE71" s="33"/>
      <c r="AF71" s="24"/>
      <c r="AG71" s="24"/>
      <c r="AH71" s="24"/>
      <c r="AI71" s="24"/>
      <c r="AJ71" s="36"/>
      <c r="AK71" s="36"/>
      <c r="AL71" s="36"/>
      <c r="AM71" s="24"/>
      <c r="AN71" s="24"/>
      <c r="AO71" s="24"/>
      <c r="AP71" s="23"/>
      <c r="AQ71" s="23"/>
    </row>
    <row r="72" spans="1:43">
      <c r="A72" s="5"/>
      <c r="B72" s="23"/>
      <c r="C72" s="24"/>
      <c r="D72" s="24"/>
      <c r="E72" s="25"/>
      <c r="F72" s="25"/>
      <c r="G72" s="25"/>
      <c r="H72" s="25"/>
      <c r="I72" s="36"/>
      <c r="J72" s="23"/>
      <c r="K72" s="24"/>
      <c r="L72" s="24"/>
      <c r="M72" s="24"/>
      <c r="N72" s="30"/>
      <c r="O72" s="24"/>
      <c r="P72" s="24"/>
      <c r="Q72" s="23"/>
      <c r="R72" s="24"/>
      <c r="S72" s="24"/>
      <c r="T72" s="24"/>
      <c r="U72" s="17"/>
      <c r="V72" s="36"/>
      <c r="W72" s="36"/>
      <c r="X72" s="24"/>
      <c r="Y72" s="24"/>
      <c r="Z72" s="23"/>
      <c r="AA72" s="23"/>
      <c r="AB72" s="23"/>
      <c r="AC72" s="5"/>
      <c r="AD72" s="5"/>
      <c r="AE72" s="33"/>
      <c r="AF72" s="24"/>
      <c r="AG72" s="24"/>
      <c r="AH72" s="24"/>
      <c r="AI72" s="24"/>
      <c r="AJ72" s="36"/>
      <c r="AK72" s="36"/>
      <c r="AL72" s="36"/>
      <c r="AM72" s="24"/>
      <c r="AN72" s="24"/>
      <c r="AO72" s="24"/>
      <c r="AP72" s="23"/>
      <c r="AQ72" s="23"/>
    </row>
    <row r="73" spans="1:43">
      <c r="A73" s="5"/>
      <c r="B73" s="23"/>
      <c r="C73" s="24"/>
      <c r="D73" s="24"/>
      <c r="E73" s="25"/>
      <c r="F73" s="25"/>
      <c r="G73" s="25"/>
      <c r="H73" s="25"/>
      <c r="I73" s="36"/>
      <c r="J73" s="23"/>
      <c r="K73" s="24"/>
      <c r="L73" s="24"/>
      <c r="M73" s="24"/>
      <c r="N73" s="30"/>
      <c r="O73" s="24"/>
      <c r="P73" s="24"/>
      <c r="Q73" s="23"/>
      <c r="R73" s="24"/>
      <c r="S73" s="24"/>
      <c r="T73" s="24"/>
      <c r="U73" s="17"/>
      <c r="V73" s="36"/>
      <c r="W73" s="36"/>
      <c r="X73" s="24"/>
      <c r="Y73" s="24"/>
      <c r="Z73" s="23"/>
      <c r="AA73" s="23"/>
      <c r="AB73" s="23"/>
      <c r="AC73" s="5"/>
      <c r="AD73" s="5"/>
      <c r="AE73" s="33"/>
      <c r="AF73" s="24"/>
      <c r="AG73" s="24"/>
      <c r="AH73" s="24"/>
      <c r="AI73" s="24"/>
      <c r="AJ73" s="36"/>
      <c r="AK73" s="36"/>
      <c r="AL73" s="36"/>
      <c r="AM73" s="24"/>
      <c r="AN73" s="24"/>
      <c r="AO73" s="24"/>
      <c r="AP73" s="23"/>
      <c r="AQ73" s="23"/>
    </row>
    <row r="74" spans="1:43">
      <c r="A74" s="5"/>
      <c r="B74" s="23"/>
      <c r="C74" s="24"/>
      <c r="D74" s="24"/>
      <c r="E74" s="25"/>
      <c r="F74" s="25"/>
      <c r="G74" s="25"/>
      <c r="H74" s="25"/>
      <c r="I74" s="36"/>
      <c r="J74" s="23"/>
      <c r="K74" s="24"/>
      <c r="L74" s="24"/>
      <c r="M74" s="24"/>
      <c r="N74" s="30"/>
      <c r="O74" s="24"/>
      <c r="P74" s="24"/>
      <c r="Q74" s="23"/>
      <c r="R74" s="24"/>
      <c r="S74" s="24"/>
      <c r="T74" s="24"/>
      <c r="U74" s="17"/>
      <c r="V74" s="36"/>
      <c r="W74" s="36"/>
      <c r="X74" s="24"/>
      <c r="Y74" s="24"/>
      <c r="Z74" s="23"/>
      <c r="AA74" s="23"/>
      <c r="AB74" s="23"/>
      <c r="AC74" s="5"/>
      <c r="AD74" s="5"/>
      <c r="AE74" s="33"/>
      <c r="AF74" s="24"/>
      <c r="AG74" s="24"/>
      <c r="AH74" s="24"/>
      <c r="AI74" s="24"/>
      <c r="AJ74" s="36"/>
      <c r="AK74" s="36"/>
      <c r="AL74" s="36"/>
      <c r="AM74" s="24"/>
      <c r="AN74" s="24"/>
      <c r="AO74" s="24"/>
      <c r="AP74" s="23"/>
      <c r="AQ74" s="23"/>
    </row>
    <row r="75" spans="1:43">
      <c r="A75" s="5"/>
      <c r="B75" s="23"/>
      <c r="C75" s="24"/>
      <c r="D75" s="24"/>
      <c r="E75" s="25"/>
      <c r="F75" s="25"/>
      <c r="G75" s="25"/>
      <c r="H75" s="25"/>
      <c r="I75" s="36"/>
      <c r="J75" s="23"/>
      <c r="K75" s="24"/>
      <c r="L75" s="24"/>
      <c r="M75" s="24"/>
      <c r="N75" s="30"/>
      <c r="O75" s="24"/>
      <c r="P75" s="24"/>
      <c r="Q75" s="23"/>
      <c r="R75" s="24"/>
      <c r="S75" s="24"/>
      <c r="T75" s="24"/>
      <c r="U75" s="17"/>
      <c r="V75" s="36"/>
      <c r="W75" s="36"/>
      <c r="X75" s="24"/>
      <c r="Y75" s="24"/>
      <c r="Z75" s="23"/>
      <c r="AA75" s="23"/>
      <c r="AB75" s="23"/>
      <c r="AC75" s="5"/>
      <c r="AD75" s="5"/>
      <c r="AE75" s="33"/>
      <c r="AF75" s="24"/>
      <c r="AG75" s="24"/>
      <c r="AH75" s="24"/>
      <c r="AI75" s="24"/>
      <c r="AJ75" s="36"/>
      <c r="AK75" s="36"/>
      <c r="AL75" s="36"/>
      <c r="AM75" s="24"/>
      <c r="AN75" s="24"/>
      <c r="AO75" s="24"/>
      <c r="AP75" s="23"/>
      <c r="AQ75" s="23"/>
    </row>
    <row r="76" spans="1:43">
      <c r="A76" s="5"/>
      <c r="B76" s="23"/>
      <c r="C76" s="24"/>
      <c r="D76" s="24"/>
      <c r="E76" s="25"/>
      <c r="F76" s="25"/>
      <c r="G76" s="25"/>
      <c r="H76" s="25"/>
      <c r="I76" s="36"/>
      <c r="J76" s="23"/>
      <c r="K76" s="24"/>
      <c r="L76" s="24"/>
      <c r="M76" s="24"/>
      <c r="N76" s="30"/>
      <c r="O76" s="24"/>
      <c r="P76" s="24"/>
      <c r="Q76" s="23"/>
      <c r="R76" s="24"/>
      <c r="S76" s="24"/>
      <c r="T76" s="24"/>
      <c r="U76" s="17"/>
      <c r="V76" s="36"/>
      <c r="W76" s="36"/>
      <c r="X76" s="24"/>
      <c r="Y76" s="24"/>
      <c r="Z76" s="23"/>
      <c r="AA76" s="23"/>
      <c r="AB76" s="23"/>
      <c r="AC76" s="5"/>
      <c r="AD76" s="5"/>
      <c r="AE76" s="33"/>
      <c r="AF76" s="24"/>
      <c r="AG76" s="24"/>
      <c r="AH76" s="24"/>
      <c r="AI76" s="24"/>
      <c r="AJ76" s="36"/>
      <c r="AK76" s="36"/>
      <c r="AL76" s="36"/>
      <c r="AM76" s="24"/>
      <c r="AN76" s="24"/>
      <c r="AO76" s="24"/>
      <c r="AP76" s="23"/>
      <c r="AQ76" s="23"/>
    </row>
    <row r="77" spans="1:43">
      <c r="A77" s="5"/>
      <c r="B77" s="23"/>
      <c r="C77" s="24"/>
      <c r="D77" s="24"/>
      <c r="E77" s="25"/>
      <c r="F77" s="25"/>
      <c r="G77" s="25"/>
      <c r="H77" s="25"/>
      <c r="I77" s="36"/>
      <c r="J77" s="23"/>
      <c r="K77" s="24"/>
      <c r="L77" s="24"/>
      <c r="M77" s="24"/>
      <c r="N77" s="30"/>
      <c r="O77" s="24"/>
      <c r="P77" s="24"/>
      <c r="Q77" s="23"/>
      <c r="R77" s="24"/>
      <c r="S77" s="24"/>
      <c r="T77" s="24"/>
      <c r="U77" s="17"/>
      <c r="V77" s="36"/>
      <c r="W77" s="36"/>
      <c r="X77" s="24"/>
      <c r="Y77" s="24"/>
      <c r="Z77" s="23"/>
      <c r="AA77" s="23"/>
      <c r="AB77" s="23"/>
      <c r="AC77" s="5"/>
      <c r="AD77" s="5"/>
      <c r="AE77" s="33"/>
      <c r="AF77" s="24"/>
      <c r="AG77" s="24"/>
      <c r="AH77" s="24"/>
      <c r="AI77" s="24"/>
      <c r="AJ77" s="36"/>
      <c r="AK77" s="36"/>
      <c r="AL77" s="36"/>
      <c r="AM77" s="24"/>
      <c r="AN77" s="24"/>
      <c r="AO77" s="24"/>
      <c r="AP77" s="23"/>
      <c r="AQ77" s="23"/>
    </row>
    <row r="78" spans="1:43">
      <c r="A78" s="5"/>
      <c r="B78" s="23"/>
      <c r="C78" s="24"/>
      <c r="D78" s="24"/>
      <c r="E78" s="25"/>
      <c r="F78" s="25"/>
      <c r="G78" s="25"/>
      <c r="H78" s="25"/>
      <c r="I78" s="36"/>
      <c r="J78" s="23"/>
      <c r="K78" s="24"/>
      <c r="L78" s="24"/>
      <c r="M78" s="24"/>
      <c r="N78" s="30"/>
      <c r="O78" s="24"/>
      <c r="P78" s="24"/>
      <c r="Q78" s="23"/>
      <c r="R78" s="24"/>
      <c r="S78" s="24"/>
      <c r="T78" s="24"/>
      <c r="U78" s="17"/>
      <c r="V78" s="36"/>
      <c r="W78" s="36"/>
      <c r="X78" s="24"/>
      <c r="Y78" s="24"/>
      <c r="Z78" s="23"/>
      <c r="AA78" s="23"/>
      <c r="AB78" s="23"/>
      <c r="AC78" s="5"/>
      <c r="AD78" s="5"/>
      <c r="AE78" s="33"/>
      <c r="AF78" s="24"/>
      <c r="AG78" s="24"/>
      <c r="AH78" s="24"/>
      <c r="AI78" s="24"/>
      <c r="AJ78" s="36"/>
      <c r="AK78" s="36"/>
      <c r="AL78" s="36"/>
      <c r="AM78" s="24"/>
      <c r="AN78" s="24"/>
      <c r="AO78" s="24"/>
      <c r="AP78" s="23"/>
      <c r="AQ78" s="23"/>
    </row>
    <row r="79" spans="1:43">
      <c r="A79" s="5"/>
      <c r="B79" s="23"/>
      <c r="C79" s="24"/>
      <c r="D79" s="24"/>
      <c r="E79" s="25"/>
      <c r="F79" s="25"/>
      <c r="G79" s="25"/>
      <c r="H79" s="25"/>
      <c r="I79" s="36"/>
      <c r="J79" s="23"/>
      <c r="K79" s="24"/>
      <c r="L79" s="24"/>
      <c r="M79" s="24"/>
      <c r="N79" s="30"/>
      <c r="O79" s="24"/>
      <c r="P79" s="24"/>
      <c r="Q79" s="23"/>
      <c r="R79" s="24"/>
      <c r="S79" s="24"/>
      <c r="T79" s="24"/>
      <c r="U79" s="17"/>
      <c r="V79" s="36"/>
      <c r="W79" s="36"/>
      <c r="X79" s="24"/>
      <c r="Y79" s="24"/>
      <c r="Z79" s="23"/>
      <c r="AA79" s="23"/>
      <c r="AB79" s="23"/>
      <c r="AC79" s="5"/>
      <c r="AD79" s="5"/>
      <c r="AE79" s="33"/>
      <c r="AF79" s="24"/>
      <c r="AG79" s="24"/>
      <c r="AH79" s="24"/>
      <c r="AI79" s="24"/>
      <c r="AJ79" s="36"/>
      <c r="AK79" s="36"/>
      <c r="AL79" s="36"/>
      <c r="AM79" s="24"/>
      <c r="AN79" s="24"/>
      <c r="AO79" s="24"/>
      <c r="AP79" s="23"/>
      <c r="AQ79" s="23"/>
    </row>
    <row r="80" spans="1:43">
      <c r="A80" s="5"/>
      <c r="B80" s="23"/>
      <c r="C80" s="24"/>
      <c r="D80" s="24"/>
      <c r="E80" s="25"/>
      <c r="F80" s="25"/>
      <c r="G80" s="25"/>
      <c r="H80" s="25"/>
      <c r="I80" s="36"/>
      <c r="J80" s="23"/>
      <c r="K80" s="24"/>
      <c r="L80" s="24"/>
      <c r="M80" s="24"/>
      <c r="N80" s="30"/>
      <c r="O80" s="24"/>
      <c r="P80" s="24"/>
      <c r="Q80" s="23"/>
      <c r="R80" s="24"/>
      <c r="S80" s="24"/>
      <c r="T80" s="24"/>
      <c r="U80" s="17"/>
      <c r="V80" s="36"/>
      <c r="W80" s="36"/>
      <c r="X80" s="24"/>
      <c r="Y80" s="24"/>
      <c r="Z80" s="23"/>
      <c r="AA80" s="23"/>
      <c r="AB80" s="23"/>
      <c r="AC80" s="5"/>
      <c r="AD80" s="5"/>
      <c r="AE80" s="33"/>
      <c r="AF80" s="24"/>
      <c r="AG80" s="24"/>
      <c r="AH80" s="24"/>
      <c r="AI80" s="24"/>
      <c r="AJ80" s="36"/>
      <c r="AK80" s="36"/>
      <c r="AL80" s="36"/>
      <c r="AM80" s="24"/>
      <c r="AN80" s="24"/>
      <c r="AO80" s="24"/>
      <c r="AP80" s="23"/>
      <c r="AQ80" s="23"/>
    </row>
    <row r="81" spans="1:43">
      <c r="A81" s="5"/>
      <c r="B81" s="23"/>
      <c r="C81" s="24"/>
      <c r="D81" s="24"/>
      <c r="E81" s="25"/>
      <c r="F81" s="25"/>
      <c r="G81" s="25"/>
      <c r="H81" s="25"/>
      <c r="I81" s="36"/>
      <c r="J81" s="23"/>
      <c r="K81" s="24"/>
      <c r="L81" s="24"/>
      <c r="M81" s="24"/>
      <c r="N81" s="30"/>
      <c r="O81" s="24"/>
      <c r="P81" s="24"/>
      <c r="Q81" s="23"/>
      <c r="R81" s="24"/>
      <c r="S81" s="24"/>
      <c r="T81" s="24"/>
      <c r="U81" s="17"/>
      <c r="V81" s="36"/>
      <c r="W81" s="36"/>
      <c r="X81" s="24"/>
      <c r="Y81" s="24"/>
      <c r="Z81" s="23"/>
      <c r="AA81" s="23"/>
      <c r="AB81" s="23"/>
      <c r="AC81" s="5"/>
      <c r="AD81" s="5"/>
      <c r="AE81" s="33"/>
      <c r="AF81" s="24"/>
      <c r="AG81" s="24"/>
      <c r="AH81" s="24"/>
      <c r="AI81" s="24"/>
      <c r="AJ81" s="36"/>
      <c r="AK81" s="36"/>
      <c r="AL81" s="36"/>
      <c r="AM81" s="24"/>
      <c r="AN81" s="24"/>
      <c r="AO81" s="24"/>
      <c r="AP81" s="23"/>
      <c r="AQ81" s="23"/>
    </row>
    <row r="82" spans="1:43">
      <c r="A82" s="5"/>
      <c r="B82" s="23"/>
      <c r="C82" s="24"/>
      <c r="D82" s="24"/>
      <c r="E82" s="25"/>
      <c r="F82" s="25"/>
      <c r="G82" s="25"/>
      <c r="H82" s="25"/>
      <c r="I82" s="36"/>
      <c r="J82" s="23"/>
      <c r="K82" s="24"/>
      <c r="L82" s="24"/>
      <c r="M82" s="24"/>
      <c r="N82" s="30"/>
      <c r="O82" s="24"/>
      <c r="P82" s="24"/>
      <c r="Q82" s="23"/>
      <c r="R82" s="24"/>
      <c r="S82" s="24"/>
      <c r="T82" s="24"/>
      <c r="U82" s="17"/>
      <c r="V82" s="36"/>
      <c r="W82" s="36"/>
      <c r="X82" s="24"/>
      <c r="Y82" s="24"/>
      <c r="Z82" s="23"/>
      <c r="AA82" s="23"/>
      <c r="AB82" s="23"/>
      <c r="AC82" s="5"/>
      <c r="AD82" s="5"/>
      <c r="AE82" s="33"/>
      <c r="AF82" s="24"/>
      <c r="AG82" s="24"/>
      <c r="AH82" s="24"/>
      <c r="AI82" s="24"/>
      <c r="AJ82" s="36"/>
      <c r="AK82" s="36"/>
      <c r="AL82" s="36"/>
      <c r="AM82" s="24"/>
      <c r="AN82" s="24"/>
      <c r="AO82" s="24"/>
      <c r="AP82" s="23"/>
      <c r="AQ82" s="23"/>
    </row>
    <row r="83" spans="1:43">
      <c r="A83" s="5"/>
      <c r="B83" s="23"/>
      <c r="C83" s="24"/>
      <c r="D83" s="24"/>
      <c r="E83" s="25"/>
      <c r="F83" s="25"/>
      <c r="G83" s="25"/>
      <c r="H83" s="25"/>
      <c r="I83" s="36"/>
      <c r="J83" s="23"/>
      <c r="K83" s="24"/>
      <c r="L83" s="24"/>
      <c r="M83" s="24"/>
      <c r="N83" s="30"/>
      <c r="O83" s="24"/>
      <c r="P83" s="24"/>
      <c r="Q83" s="23"/>
      <c r="R83" s="24"/>
      <c r="S83" s="24"/>
      <c r="T83" s="24"/>
      <c r="U83" s="17"/>
      <c r="V83" s="36"/>
      <c r="W83" s="36"/>
      <c r="X83" s="24"/>
      <c r="Y83" s="24"/>
      <c r="Z83" s="23"/>
      <c r="AA83" s="23"/>
      <c r="AB83" s="23"/>
      <c r="AC83" s="5"/>
      <c r="AD83" s="5"/>
      <c r="AE83" s="33"/>
      <c r="AF83" s="24"/>
      <c r="AG83" s="24"/>
      <c r="AH83" s="24"/>
      <c r="AI83" s="24"/>
      <c r="AJ83" s="36"/>
      <c r="AK83" s="36"/>
      <c r="AL83" s="36"/>
      <c r="AM83" s="24"/>
      <c r="AN83" s="24"/>
      <c r="AO83" s="24"/>
      <c r="AP83" s="23"/>
      <c r="AQ83" s="23"/>
    </row>
    <row r="84" spans="1:43">
      <c r="A84" s="5"/>
      <c r="B84" s="23"/>
      <c r="C84" s="24"/>
      <c r="D84" s="24"/>
      <c r="E84" s="25"/>
      <c r="F84" s="25"/>
      <c r="G84" s="25"/>
      <c r="H84" s="25"/>
      <c r="I84" s="36"/>
      <c r="J84" s="23"/>
      <c r="K84" s="24"/>
      <c r="L84" s="24"/>
      <c r="M84" s="24"/>
      <c r="N84" s="30"/>
      <c r="O84" s="24"/>
      <c r="P84" s="24"/>
      <c r="Q84" s="23"/>
      <c r="R84" s="24"/>
      <c r="S84" s="24"/>
      <c r="T84" s="24"/>
      <c r="U84" s="17"/>
      <c r="V84" s="36"/>
      <c r="W84" s="36"/>
      <c r="X84" s="24"/>
      <c r="Y84" s="24"/>
      <c r="Z84" s="23"/>
      <c r="AA84" s="23"/>
      <c r="AB84" s="23"/>
      <c r="AC84" s="5"/>
      <c r="AD84" s="5"/>
      <c r="AE84" s="33"/>
      <c r="AF84" s="24"/>
      <c r="AG84" s="24"/>
      <c r="AH84" s="24"/>
      <c r="AI84" s="24"/>
      <c r="AJ84" s="36"/>
      <c r="AK84" s="36"/>
      <c r="AL84" s="36"/>
      <c r="AM84" s="24"/>
      <c r="AN84" s="24"/>
      <c r="AO84" s="24"/>
      <c r="AP84" s="23"/>
      <c r="AQ84" s="23"/>
    </row>
    <row r="85" spans="1:43">
      <c r="A85" s="5"/>
      <c r="B85" s="23"/>
      <c r="C85" s="24"/>
      <c r="D85" s="24"/>
      <c r="E85" s="25"/>
      <c r="F85" s="25"/>
      <c r="G85" s="25"/>
      <c r="H85" s="25"/>
      <c r="I85" s="36"/>
      <c r="J85" s="23"/>
      <c r="K85" s="24"/>
      <c r="L85" s="24"/>
      <c r="M85" s="24"/>
      <c r="N85" s="30"/>
      <c r="O85" s="24"/>
      <c r="P85" s="24"/>
      <c r="Q85" s="23"/>
      <c r="R85" s="24"/>
      <c r="S85" s="24"/>
      <c r="T85" s="24"/>
      <c r="U85" s="17"/>
      <c r="V85" s="36"/>
      <c r="W85" s="36"/>
      <c r="X85" s="24"/>
      <c r="Y85" s="24"/>
      <c r="Z85" s="23"/>
      <c r="AA85" s="23"/>
      <c r="AB85" s="23"/>
      <c r="AC85" s="5"/>
      <c r="AD85" s="5"/>
      <c r="AE85" s="33"/>
      <c r="AF85" s="24"/>
      <c r="AG85" s="24"/>
      <c r="AH85" s="24"/>
      <c r="AI85" s="24"/>
      <c r="AJ85" s="36"/>
      <c r="AK85" s="36"/>
      <c r="AL85" s="36"/>
      <c r="AM85" s="24"/>
      <c r="AN85" s="24"/>
      <c r="AO85" s="24"/>
      <c r="AP85" s="23"/>
      <c r="AQ85" s="23"/>
    </row>
    <row r="86" spans="1:43">
      <c r="A86" s="5"/>
      <c r="B86" s="23"/>
      <c r="C86" s="24"/>
      <c r="D86" s="24"/>
      <c r="E86" s="25"/>
      <c r="F86" s="25"/>
      <c r="G86" s="25"/>
      <c r="H86" s="25"/>
      <c r="I86" s="36"/>
      <c r="J86" s="23"/>
      <c r="K86" s="24"/>
      <c r="L86" s="24"/>
      <c r="M86" s="24"/>
      <c r="N86" s="30"/>
      <c r="O86" s="24"/>
      <c r="P86" s="24"/>
      <c r="Q86" s="23"/>
      <c r="R86" s="24"/>
      <c r="S86" s="24"/>
      <c r="T86" s="24"/>
      <c r="U86" s="17"/>
      <c r="V86" s="36"/>
      <c r="W86" s="36"/>
      <c r="X86" s="24"/>
      <c r="Y86" s="24"/>
      <c r="Z86" s="23"/>
      <c r="AA86" s="23"/>
      <c r="AB86" s="23"/>
      <c r="AC86" s="5"/>
      <c r="AD86" s="5"/>
      <c r="AE86" s="33"/>
      <c r="AF86" s="24"/>
      <c r="AG86" s="24"/>
      <c r="AH86" s="24"/>
      <c r="AI86" s="24"/>
      <c r="AJ86" s="36"/>
      <c r="AK86" s="36"/>
      <c r="AL86" s="36"/>
      <c r="AM86" s="24"/>
      <c r="AN86" s="24"/>
      <c r="AO86" s="24"/>
      <c r="AP86" s="23"/>
      <c r="AQ86" s="23"/>
    </row>
    <row r="87" spans="1:43">
      <c r="A87" s="5"/>
      <c r="B87" s="23"/>
      <c r="C87" s="24"/>
      <c r="D87" s="24"/>
      <c r="E87" s="25"/>
      <c r="F87" s="25"/>
      <c r="G87" s="25"/>
      <c r="H87" s="25"/>
      <c r="I87" s="36"/>
      <c r="J87" s="23"/>
      <c r="K87" s="24"/>
      <c r="L87" s="24"/>
      <c r="M87" s="24"/>
      <c r="N87" s="30"/>
      <c r="O87" s="24"/>
      <c r="P87" s="24"/>
      <c r="Q87" s="23"/>
      <c r="R87" s="24"/>
      <c r="S87" s="24"/>
      <c r="T87" s="24"/>
      <c r="U87" s="17"/>
      <c r="V87" s="36"/>
      <c r="W87" s="36"/>
      <c r="X87" s="24"/>
      <c r="Y87" s="24"/>
      <c r="Z87" s="23"/>
      <c r="AA87" s="23"/>
      <c r="AB87" s="23"/>
      <c r="AC87" s="5"/>
      <c r="AD87" s="5"/>
      <c r="AE87" s="33"/>
      <c r="AF87" s="24"/>
      <c r="AG87" s="24"/>
      <c r="AH87" s="24"/>
      <c r="AI87" s="24"/>
      <c r="AJ87" s="36"/>
      <c r="AK87" s="36"/>
      <c r="AL87" s="36"/>
      <c r="AM87" s="24"/>
      <c r="AN87" s="24"/>
      <c r="AO87" s="24"/>
      <c r="AP87" s="23"/>
      <c r="AQ87" s="23"/>
    </row>
    <row r="88" spans="1:43">
      <c r="A88" s="5"/>
      <c r="B88" s="23"/>
      <c r="C88" s="24"/>
      <c r="D88" s="24"/>
      <c r="E88" s="25"/>
      <c r="F88" s="25"/>
      <c r="G88" s="25"/>
      <c r="H88" s="25"/>
      <c r="I88" s="36"/>
      <c r="J88" s="23"/>
      <c r="K88" s="24"/>
      <c r="L88" s="24"/>
      <c r="M88" s="24"/>
      <c r="N88" s="30"/>
      <c r="O88" s="24"/>
      <c r="P88" s="24"/>
      <c r="Q88" s="23"/>
      <c r="R88" s="24"/>
      <c r="S88" s="24"/>
      <c r="T88" s="24"/>
      <c r="U88" s="17"/>
      <c r="V88" s="36"/>
      <c r="W88" s="36"/>
      <c r="X88" s="24"/>
      <c r="Y88" s="24"/>
      <c r="Z88" s="23"/>
      <c r="AA88" s="23"/>
      <c r="AB88" s="23"/>
      <c r="AC88" s="5"/>
      <c r="AD88" s="5"/>
      <c r="AE88" s="33"/>
      <c r="AF88" s="24"/>
      <c r="AG88" s="24"/>
      <c r="AH88" s="24"/>
      <c r="AI88" s="24"/>
      <c r="AJ88" s="36"/>
      <c r="AK88" s="36"/>
      <c r="AL88" s="36"/>
      <c r="AM88" s="24"/>
      <c r="AN88" s="24"/>
      <c r="AO88" s="24"/>
      <c r="AP88" s="23"/>
      <c r="AQ88" s="23"/>
    </row>
    <row r="89" spans="1:43">
      <c r="A89" s="5"/>
      <c r="B89" s="23"/>
      <c r="C89" s="24"/>
      <c r="D89" s="24"/>
      <c r="E89" s="25"/>
      <c r="F89" s="25"/>
      <c r="G89" s="25"/>
      <c r="H89" s="25"/>
      <c r="I89" s="36"/>
      <c r="J89" s="23"/>
      <c r="K89" s="24"/>
      <c r="L89" s="24"/>
      <c r="M89" s="24"/>
      <c r="N89" s="30"/>
      <c r="O89" s="24"/>
      <c r="P89" s="24"/>
      <c r="Q89" s="23"/>
      <c r="R89" s="24"/>
      <c r="S89" s="24"/>
      <c r="T89" s="24"/>
      <c r="U89" s="17"/>
      <c r="V89" s="36"/>
      <c r="W89" s="36"/>
      <c r="X89" s="24"/>
      <c r="Y89" s="24"/>
      <c r="Z89" s="23"/>
      <c r="AA89" s="23"/>
      <c r="AB89" s="23"/>
      <c r="AC89" s="5"/>
      <c r="AD89" s="5"/>
      <c r="AE89" s="33"/>
      <c r="AF89" s="24"/>
      <c r="AG89" s="24"/>
      <c r="AH89" s="24"/>
      <c r="AI89" s="24"/>
      <c r="AJ89" s="36"/>
      <c r="AK89" s="36"/>
      <c r="AL89" s="36"/>
      <c r="AM89" s="24"/>
      <c r="AN89" s="24"/>
      <c r="AO89" s="24"/>
      <c r="AP89" s="23"/>
      <c r="AQ89" s="23"/>
    </row>
    <row r="90" spans="1:43">
      <c r="A90" s="5"/>
      <c r="B90" s="23"/>
      <c r="C90" s="24"/>
      <c r="D90" s="24"/>
      <c r="E90" s="25"/>
      <c r="F90" s="25"/>
      <c r="G90" s="25"/>
      <c r="H90" s="25"/>
      <c r="I90" s="36"/>
      <c r="J90" s="23"/>
      <c r="K90" s="24"/>
      <c r="L90" s="24"/>
      <c r="M90" s="24"/>
      <c r="N90" s="30"/>
      <c r="O90" s="24"/>
      <c r="P90" s="24"/>
      <c r="Q90" s="23"/>
      <c r="R90" s="24"/>
      <c r="S90" s="24"/>
      <c r="T90" s="24"/>
      <c r="U90" s="17"/>
      <c r="V90" s="36"/>
      <c r="W90" s="36"/>
      <c r="X90" s="24"/>
      <c r="Y90" s="24"/>
      <c r="Z90" s="23"/>
      <c r="AA90" s="23"/>
      <c r="AB90" s="23"/>
      <c r="AC90" s="5"/>
      <c r="AD90" s="5"/>
      <c r="AE90" s="33"/>
      <c r="AF90" s="24"/>
      <c r="AG90" s="24"/>
      <c r="AH90" s="24"/>
      <c r="AI90" s="24"/>
      <c r="AJ90" s="36"/>
      <c r="AK90" s="36"/>
      <c r="AL90" s="36"/>
      <c r="AM90" s="24"/>
      <c r="AN90" s="24"/>
      <c r="AO90" s="24"/>
      <c r="AP90" s="23"/>
      <c r="AQ90" s="23"/>
    </row>
    <row r="91" spans="1:43">
      <c r="A91" s="5"/>
      <c r="B91" s="23"/>
      <c r="C91" s="24"/>
      <c r="D91" s="24"/>
      <c r="E91" s="25"/>
      <c r="F91" s="25"/>
      <c r="G91" s="25"/>
      <c r="H91" s="25"/>
      <c r="I91" s="36"/>
      <c r="J91" s="23"/>
      <c r="K91" s="24"/>
      <c r="L91" s="24"/>
      <c r="M91" s="24"/>
      <c r="N91" s="30"/>
      <c r="O91" s="24"/>
      <c r="P91" s="24"/>
      <c r="Q91" s="23"/>
      <c r="R91" s="24"/>
      <c r="S91" s="24"/>
      <c r="T91" s="24"/>
      <c r="U91" s="17"/>
      <c r="V91" s="36"/>
      <c r="W91" s="36"/>
      <c r="X91" s="24"/>
      <c r="Y91" s="24"/>
      <c r="Z91" s="23"/>
      <c r="AA91" s="23"/>
      <c r="AB91" s="23"/>
      <c r="AC91" s="5"/>
      <c r="AD91" s="5"/>
      <c r="AE91" s="33"/>
      <c r="AF91" s="24"/>
      <c r="AG91" s="24"/>
      <c r="AH91" s="24"/>
      <c r="AI91" s="24"/>
      <c r="AJ91" s="36"/>
      <c r="AK91" s="36"/>
      <c r="AL91" s="36"/>
      <c r="AM91" s="24"/>
      <c r="AN91" s="24"/>
      <c r="AO91" s="24"/>
      <c r="AP91" s="23"/>
      <c r="AQ91" s="23"/>
    </row>
    <row r="92" spans="1:43">
      <c r="A92" s="5"/>
      <c r="B92" s="23"/>
      <c r="C92" s="24"/>
      <c r="D92" s="24"/>
      <c r="E92" s="25"/>
      <c r="F92" s="25"/>
      <c r="G92" s="25"/>
      <c r="H92" s="25"/>
      <c r="I92" s="36"/>
      <c r="J92" s="23"/>
      <c r="K92" s="24"/>
      <c r="L92" s="24"/>
      <c r="M92" s="24"/>
      <c r="N92" s="30"/>
      <c r="O92" s="24"/>
      <c r="P92" s="24"/>
      <c r="Q92" s="23"/>
      <c r="R92" s="24"/>
      <c r="S92" s="24"/>
      <c r="T92" s="24"/>
      <c r="U92" s="17"/>
      <c r="V92" s="36"/>
      <c r="W92" s="36"/>
      <c r="X92" s="24"/>
      <c r="Y92" s="24"/>
      <c r="Z92" s="23"/>
      <c r="AA92" s="23"/>
      <c r="AB92" s="23"/>
      <c r="AC92" s="5"/>
      <c r="AD92" s="5"/>
      <c r="AE92" s="33"/>
      <c r="AF92" s="24"/>
      <c r="AG92" s="24"/>
      <c r="AH92" s="24"/>
      <c r="AI92" s="24"/>
      <c r="AJ92" s="36"/>
      <c r="AK92" s="36"/>
      <c r="AL92" s="36"/>
      <c r="AM92" s="24"/>
      <c r="AN92" s="24"/>
      <c r="AO92" s="24"/>
      <c r="AP92" s="23"/>
      <c r="AQ92" s="23"/>
    </row>
    <row r="93" spans="1:43">
      <c r="A93" s="5"/>
      <c r="B93" s="23"/>
      <c r="C93" s="24"/>
      <c r="D93" s="24"/>
      <c r="E93" s="25"/>
      <c r="F93" s="25"/>
      <c r="G93" s="25"/>
      <c r="H93" s="25"/>
      <c r="I93" s="36"/>
      <c r="J93" s="23"/>
      <c r="K93" s="24"/>
      <c r="L93" s="24"/>
      <c r="M93" s="24"/>
      <c r="N93" s="30"/>
      <c r="O93" s="24"/>
      <c r="P93" s="24"/>
      <c r="Q93" s="23"/>
      <c r="R93" s="24"/>
      <c r="S93" s="24"/>
      <c r="T93" s="24"/>
      <c r="U93" s="17"/>
      <c r="V93" s="36"/>
      <c r="W93" s="36"/>
      <c r="X93" s="24"/>
      <c r="Y93" s="24"/>
      <c r="Z93" s="23"/>
      <c r="AA93" s="23"/>
      <c r="AB93" s="23"/>
      <c r="AC93" s="5"/>
      <c r="AD93" s="5"/>
      <c r="AE93" s="33"/>
      <c r="AF93" s="24"/>
      <c r="AG93" s="24"/>
      <c r="AH93" s="24"/>
      <c r="AI93" s="24"/>
      <c r="AJ93" s="36"/>
      <c r="AK93" s="36"/>
      <c r="AL93" s="36"/>
      <c r="AM93" s="24"/>
      <c r="AN93" s="24"/>
      <c r="AO93" s="24"/>
      <c r="AP93" s="23"/>
      <c r="AQ93" s="23"/>
    </row>
    <row r="94" spans="1:43">
      <c r="A94" s="5"/>
      <c r="B94" s="23"/>
      <c r="C94" s="24"/>
      <c r="D94" s="24"/>
      <c r="E94" s="25"/>
      <c r="F94" s="25"/>
      <c r="G94" s="25"/>
      <c r="H94" s="25"/>
      <c r="I94" s="36"/>
      <c r="J94" s="23"/>
      <c r="K94" s="24"/>
      <c r="L94" s="24"/>
      <c r="M94" s="24"/>
      <c r="N94" s="30"/>
      <c r="O94" s="24"/>
      <c r="P94" s="24"/>
      <c r="Q94" s="23"/>
      <c r="R94" s="24"/>
      <c r="S94" s="24"/>
      <c r="T94" s="24"/>
      <c r="U94" s="17"/>
      <c r="V94" s="36"/>
      <c r="W94" s="36"/>
      <c r="X94" s="24"/>
      <c r="Y94" s="24"/>
      <c r="Z94" s="23"/>
      <c r="AA94" s="23"/>
      <c r="AB94" s="23"/>
      <c r="AC94" s="5"/>
      <c r="AD94" s="5"/>
      <c r="AE94" s="33"/>
      <c r="AF94" s="24"/>
      <c r="AG94" s="24"/>
      <c r="AH94" s="24"/>
      <c r="AI94" s="24"/>
      <c r="AJ94" s="36"/>
      <c r="AK94" s="36"/>
      <c r="AL94" s="36"/>
      <c r="AM94" s="24"/>
      <c r="AN94" s="24"/>
      <c r="AO94" s="24"/>
      <c r="AP94" s="23"/>
      <c r="AQ94" s="23"/>
    </row>
    <row r="95" spans="1:43">
      <c r="A95" s="5"/>
      <c r="B95" s="23"/>
      <c r="C95" s="24"/>
      <c r="D95" s="24"/>
      <c r="E95" s="25"/>
      <c r="F95" s="25"/>
      <c r="G95" s="25"/>
      <c r="H95" s="25"/>
      <c r="I95" s="36"/>
      <c r="J95" s="23"/>
      <c r="K95" s="24"/>
      <c r="L95" s="24"/>
      <c r="M95" s="24"/>
      <c r="N95" s="30"/>
      <c r="O95" s="24"/>
      <c r="P95" s="24"/>
      <c r="Q95" s="23"/>
      <c r="R95" s="24"/>
      <c r="S95" s="24"/>
      <c r="T95" s="24"/>
      <c r="U95" s="17"/>
      <c r="V95" s="36"/>
      <c r="W95" s="36"/>
      <c r="X95" s="24"/>
      <c r="Y95" s="24"/>
      <c r="Z95" s="23"/>
      <c r="AA95" s="23"/>
      <c r="AB95" s="23"/>
      <c r="AC95" s="5"/>
      <c r="AD95" s="5"/>
      <c r="AE95" s="33"/>
      <c r="AF95" s="24"/>
      <c r="AG95" s="24"/>
      <c r="AH95" s="24"/>
      <c r="AI95" s="24"/>
      <c r="AJ95" s="36"/>
      <c r="AK95" s="36"/>
      <c r="AL95" s="36"/>
      <c r="AM95" s="24"/>
      <c r="AN95" s="24"/>
      <c r="AO95" s="24"/>
      <c r="AP95" s="23"/>
      <c r="AQ95" s="23"/>
    </row>
    <row r="96" spans="1:43">
      <c r="A96" s="5"/>
      <c r="B96" s="23"/>
      <c r="C96" s="24"/>
      <c r="D96" s="24"/>
      <c r="E96" s="25"/>
      <c r="F96" s="25"/>
      <c r="G96" s="25"/>
      <c r="H96" s="25"/>
      <c r="I96" s="36"/>
      <c r="J96" s="23"/>
      <c r="K96" s="24"/>
      <c r="L96" s="24"/>
      <c r="M96" s="24"/>
      <c r="N96" s="30"/>
      <c r="O96" s="24"/>
      <c r="P96" s="24"/>
      <c r="Q96" s="23"/>
      <c r="R96" s="24"/>
      <c r="S96" s="24"/>
      <c r="T96" s="24"/>
      <c r="U96" s="17"/>
      <c r="V96" s="36"/>
      <c r="W96" s="36"/>
      <c r="X96" s="24"/>
      <c r="Y96" s="24"/>
      <c r="Z96" s="23"/>
      <c r="AA96" s="23"/>
      <c r="AB96" s="23"/>
      <c r="AC96" s="5"/>
      <c r="AD96" s="5"/>
      <c r="AE96" s="33"/>
      <c r="AF96" s="24"/>
      <c r="AG96" s="24"/>
      <c r="AH96" s="24"/>
      <c r="AI96" s="24"/>
      <c r="AJ96" s="36"/>
      <c r="AK96" s="36"/>
      <c r="AL96" s="36"/>
      <c r="AM96" s="24"/>
      <c r="AN96" s="24"/>
      <c r="AO96" s="24"/>
      <c r="AP96" s="23"/>
      <c r="AQ96" s="23"/>
    </row>
    <row r="97" spans="1:43">
      <c r="A97" s="5"/>
      <c r="B97" s="23"/>
      <c r="C97" s="24"/>
      <c r="D97" s="24"/>
      <c r="E97" s="25"/>
      <c r="F97" s="25"/>
      <c r="G97" s="25"/>
      <c r="H97" s="25"/>
      <c r="I97" s="36"/>
      <c r="J97" s="23"/>
      <c r="K97" s="24"/>
      <c r="L97" s="24"/>
      <c r="M97" s="24"/>
      <c r="N97" s="30"/>
      <c r="O97" s="24"/>
      <c r="P97" s="24"/>
      <c r="Q97" s="23"/>
      <c r="R97" s="24"/>
      <c r="S97" s="24"/>
      <c r="T97" s="24"/>
      <c r="U97" s="17"/>
      <c r="V97" s="36"/>
      <c r="W97" s="36"/>
      <c r="X97" s="24"/>
      <c r="Y97" s="24"/>
      <c r="Z97" s="23"/>
      <c r="AA97" s="23"/>
      <c r="AB97" s="23"/>
      <c r="AC97" s="5"/>
      <c r="AD97" s="5"/>
      <c r="AE97" s="33"/>
      <c r="AF97" s="24"/>
      <c r="AG97" s="24"/>
      <c r="AH97" s="24"/>
      <c r="AI97" s="24"/>
      <c r="AJ97" s="36"/>
      <c r="AK97" s="36"/>
      <c r="AL97" s="36"/>
      <c r="AM97" s="24"/>
      <c r="AN97" s="24"/>
      <c r="AO97" s="24"/>
      <c r="AP97" s="23"/>
      <c r="AQ97" s="23"/>
    </row>
    <row r="98" spans="1:43">
      <c r="A98" s="5"/>
      <c r="B98" s="23"/>
      <c r="C98" s="24"/>
      <c r="D98" s="24"/>
      <c r="E98" s="25"/>
      <c r="F98" s="25"/>
      <c r="G98" s="25"/>
      <c r="H98" s="25"/>
      <c r="I98" s="36"/>
      <c r="J98" s="23"/>
      <c r="K98" s="24"/>
      <c r="L98" s="24"/>
      <c r="M98" s="24"/>
      <c r="N98" s="30"/>
      <c r="O98" s="24"/>
      <c r="P98" s="24"/>
      <c r="Q98" s="23"/>
      <c r="R98" s="24"/>
      <c r="S98" s="24"/>
      <c r="T98" s="24"/>
      <c r="U98" s="17"/>
      <c r="V98" s="36"/>
      <c r="W98" s="36"/>
      <c r="X98" s="24"/>
      <c r="Y98" s="24"/>
      <c r="Z98" s="23"/>
      <c r="AA98" s="23"/>
      <c r="AB98" s="23"/>
      <c r="AC98" s="5"/>
      <c r="AD98" s="5"/>
      <c r="AE98" s="33"/>
      <c r="AF98" s="24"/>
      <c r="AG98" s="24"/>
      <c r="AH98" s="24"/>
      <c r="AI98" s="24"/>
      <c r="AJ98" s="36"/>
      <c r="AK98" s="36"/>
      <c r="AL98" s="36"/>
      <c r="AM98" s="24"/>
      <c r="AN98" s="24"/>
      <c r="AO98" s="24"/>
      <c r="AP98" s="23"/>
      <c r="AQ98" s="23"/>
    </row>
    <row r="99" spans="1:43">
      <c r="A99" s="5"/>
      <c r="B99" s="23"/>
      <c r="C99" s="24"/>
      <c r="D99" s="24"/>
      <c r="E99" s="25"/>
      <c r="F99" s="25"/>
      <c r="G99" s="25"/>
      <c r="H99" s="25"/>
      <c r="I99" s="36"/>
      <c r="J99" s="23"/>
      <c r="K99" s="24"/>
      <c r="L99" s="24"/>
      <c r="M99" s="24"/>
      <c r="N99" s="30"/>
      <c r="O99" s="24"/>
      <c r="P99" s="24"/>
      <c r="Q99" s="23"/>
      <c r="R99" s="24"/>
      <c r="S99" s="24"/>
      <c r="T99" s="24"/>
      <c r="U99" s="17"/>
      <c r="V99" s="36"/>
      <c r="W99" s="36"/>
      <c r="X99" s="24"/>
      <c r="Y99" s="24"/>
      <c r="Z99" s="23"/>
      <c r="AA99" s="23"/>
      <c r="AB99" s="23"/>
      <c r="AC99" s="5"/>
      <c r="AD99" s="5"/>
      <c r="AE99" s="33"/>
      <c r="AF99" s="24"/>
      <c r="AG99" s="24"/>
      <c r="AH99" s="24"/>
      <c r="AI99" s="24"/>
      <c r="AJ99" s="36"/>
      <c r="AK99" s="36"/>
      <c r="AL99" s="36"/>
      <c r="AM99" s="24"/>
      <c r="AN99" s="24"/>
      <c r="AO99" s="24"/>
      <c r="AP99" s="23"/>
      <c r="AQ99" s="23"/>
    </row>
    <row r="100" spans="1:43">
      <c r="A100" s="5"/>
      <c r="B100" s="23"/>
      <c r="C100" s="24"/>
      <c r="D100" s="24"/>
      <c r="E100" s="25"/>
      <c r="F100" s="25"/>
      <c r="G100" s="25"/>
      <c r="H100" s="25"/>
      <c r="I100" s="36"/>
      <c r="J100" s="23"/>
      <c r="K100" s="24"/>
      <c r="L100" s="24"/>
      <c r="M100" s="24"/>
      <c r="N100" s="30"/>
      <c r="O100" s="24"/>
      <c r="P100" s="24"/>
      <c r="Q100" s="23"/>
      <c r="R100" s="24"/>
      <c r="S100" s="24"/>
      <c r="T100" s="24"/>
      <c r="U100" s="17"/>
      <c r="V100" s="36"/>
      <c r="W100" s="36"/>
      <c r="X100" s="24"/>
      <c r="Y100" s="24"/>
      <c r="Z100" s="23"/>
      <c r="AA100" s="23"/>
      <c r="AB100" s="23"/>
      <c r="AC100" s="5"/>
      <c r="AD100" s="5"/>
      <c r="AE100" s="33"/>
      <c r="AF100" s="24"/>
      <c r="AG100" s="24"/>
      <c r="AH100" s="24"/>
      <c r="AI100" s="24"/>
      <c r="AJ100" s="36"/>
      <c r="AK100" s="36"/>
      <c r="AL100" s="36"/>
      <c r="AM100" s="24"/>
      <c r="AN100" s="24"/>
      <c r="AO100" s="24"/>
      <c r="AP100" s="23"/>
      <c r="AQ100" s="23"/>
    </row>
    <row r="101" spans="1:43">
      <c r="A101" s="5"/>
      <c r="B101" s="23"/>
      <c r="C101" s="24"/>
      <c r="D101" s="24"/>
      <c r="E101" s="25"/>
      <c r="F101" s="25"/>
      <c r="G101" s="25"/>
      <c r="H101" s="25"/>
      <c r="I101" s="36"/>
      <c r="J101" s="23"/>
      <c r="K101" s="24"/>
      <c r="L101" s="24"/>
      <c r="M101" s="24"/>
      <c r="N101" s="30"/>
      <c r="O101" s="24"/>
      <c r="P101" s="24"/>
      <c r="Q101" s="23"/>
      <c r="R101" s="24"/>
      <c r="S101" s="24"/>
      <c r="T101" s="24"/>
      <c r="U101" s="17"/>
      <c r="V101" s="36"/>
      <c r="W101" s="36"/>
      <c r="X101" s="24"/>
      <c r="Y101" s="24"/>
      <c r="Z101" s="23"/>
      <c r="AA101" s="23"/>
      <c r="AB101" s="23"/>
      <c r="AC101" s="5"/>
      <c r="AD101" s="5"/>
      <c r="AE101" s="33"/>
      <c r="AF101" s="24"/>
      <c r="AG101" s="24"/>
      <c r="AH101" s="24"/>
      <c r="AI101" s="24"/>
      <c r="AJ101" s="36"/>
      <c r="AK101" s="36"/>
      <c r="AL101" s="36"/>
      <c r="AM101" s="24"/>
      <c r="AN101" s="24"/>
      <c r="AO101" s="24"/>
      <c r="AP101" s="23"/>
      <c r="AQ101" s="23"/>
    </row>
    <row r="102" spans="1:43">
      <c r="A102" s="5"/>
      <c r="B102" s="23"/>
      <c r="C102" s="24"/>
      <c r="D102" s="24"/>
      <c r="E102" s="25"/>
      <c r="F102" s="25"/>
      <c r="G102" s="25"/>
      <c r="H102" s="25"/>
      <c r="I102" s="36"/>
      <c r="J102" s="23"/>
      <c r="K102" s="24"/>
      <c r="L102" s="24"/>
      <c r="M102" s="24"/>
      <c r="N102" s="30"/>
      <c r="O102" s="24"/>
      <c r="P102" s="24"/>
      <c r="Q102" s="23"/>
      <c r="R102" s="24"/>
      <c r="S102" s="24"/>
      <c r="T102" s="24"/>
      <c r="U102" s="17"/>
      <c r="V102" s="36"/>
      <c r="W102" s="36"/>
      <c r="X102" s="24"/>
      <c r="Y102" s="24"/>
      <c r="Z102" s="23"/>
      <c r="AA102" s="23"/>
      <c r="AB102" s="23"/>
      <c r="AC102" s="5"/>
      <c r="AD102" s="5"/>
      <c r="AE102" s="33"/>
      <c r="AF102" s="24"/>
      <c r="AG102" s="24"/>
      <c r="AH102" s="24"/>
      <c r="AI102" s="24"/>
      <c r="AJ102" s="36"/>
      <c r="AK102" s="36"/>
      <c r="AL102" s="36"/>
      <c r="AM102" s="24"/>
      <c r="AN102" s="24"/>
      <c r="AO102" s="24"/>
      <c r="AP102" s="23"/>
      <c r="AQ102" s="23"/>
    </row>
    <row r="103" spans="1:43">
      <c r="A103" s="5"/>
      <c r="B103" s="23"/>
      <c r="C103" s="24"/>
      <c r="D103" s="24"/>
      <c r="E103" s="25"/>
      <c r="F103" s="25"/>
      <c r="G103" s="25"/>
      <c r="H103" s="25"/>
      <c r="I103" s="36"/>
      <c r="J103" s="23"/>
      <c r="K103" s="24"/>
      <c r="L103" s="24"/>
      <c r="M103" s="24"/>
      <c r="N103" s="30"/>
      <c r="O103" s="24"/>
      <c r="P103" s="24"/>
      <c r="Q103" s="23"/>
      <c r="R103" s="24"/>
      <c r="S103" s="24"/>
      <c r="T103" s="24"/>
      <c r="U103" s="17"/>
      <c r="V103" s="36"/>
      <c r="W103" s="36"/>
      <c r="X103" s="24"/>
      <c r="Y103" s="24"/>
      <c r="Z103" s="23"/>
      <c r="AA103" s="23"/>
      <c r="AB103" s="23"/>
      <c r="AC103" s="5"/>
      <c r="AD103" s="5"/>
      <c r="AE103" s="33"/>
      <c r="AF103" s="24"/>
      <c r="AG103" s="24"/>
      <c r="AH103" s="24"/>
      <c r="AI103" s="24"/>
      <c r="AJ103" s="36"/>
      <c r="AK103" s="36"/>
      <c r="AL103" s="36"/>
      <c r="AM103" s="24"/>
      <c r="AN103" s="24"/>
      <c r="AO103" s="24"/>
      <c r="AP103" s="23"/>
      <c r="AQ103" s="23"/>
    </row>
    <row r="104" spans="1:43">
      <c r="A104" s="5"/>
      <c r="B104" s="23"/>
      <c r="C104" s="24"/>
      <c r="D104" s="24"/>
      <c r="E104" s="25"/>
      <c r="F104" s="25"/>
      <c r="G104" s="25"/>
      <c r="H104" s="25"/>
      <c r="I104" s="36"/>
      <c r="J104" s="23"/>
      <c r="K104" s="24"/>
      <c r="L104" s="24"/>
      <c r="M104" s="24"/>
      <c r="N104" s="30"/>
      <c r="O104" s="24"/>
      <c r="P104" s="24"/>
      <c r="Q104" s="23"/>
      <c r="R104" s="24"/>
      <c r="S104" s="24"/>
      <c r="T104" s="24"/>
      <c r="U104" s="17"/>
      <c r="V104" s="36"/>
      <c r="W104" s="36"/>
      <c r="X104" s="24"/>
      <c r="Y104" s="24"/>
      <c r="Z104" s="23"/>
      <c r="AA104" s="23"/>
      <c r="AB104" s="23"/>
      <c r="AC104" s="5"/>
      <c r="AD104" s="5"/>
      <c r="AE104" s="33"/>
      <c r="AF104" s="24"/>
      <c r="AG104" s="24"/>
      <c r="AH104" s="24"/>
      <c r="AI104" s="24"/>
      <c r="AJ104" s="36"/>
      <c r="AK104" s="36"/>
      <c r="AL104" s="36"/>
      <c r="AM104" s="24"/>
      <c r="AN104" s="24"/>
      <c r="AO104" s="24"/>
      <c r="AP104" s="23"/>
      <c r="AQ104" s="23"/>
    </row>
    <row r="105" spans="1:43">
      <c r="A105" s="5"/>
      <c r="B105" s="23"/>
      <c r="C105" s="24"/>
      <c r="D105" s="24"/>
      <c r="E105" s="25"/>
      <c r="F105" s="25"/>
      <c r="G105" s="25"/>
      <c r="H105" s="25"/>
      <c r="I105" s="36"/>
      <c r="J105" s="23"/>
      <c r="K105" s="24"/>
      <c r="L105" s="24"/>
      <c r="M105" s="24"/>
      <c r="N105" s="30"/>
      <c r="O105" s="24"/>
      <c r="P105" s="24"/>
      <c r="Q105" s="23"/>
      <c r="R105" s="24"/>
      <c r="S105" s="24"/>
      <c r="T105" s="24"/>
      <c r="U105" s="17"/>
      <c r="V105" s="36"/>
      <c r="W105" s="36"/>
      <c r="X105" s="24"/>
      <c r="Y105" s="24"/>
      <c r="Z105" s="23"/>
      <c r="AA105" s="23"/>
      <c r="AB105" s="23"/>
      <c r="AC105" s="5"/>
      <c r="AD105" s="5"/>
      <c r="AE105" s="33"/>
      <c r="AF105" s="24"/>
      <c r="AG105" s="24"/>
      <c r="AH105" s="24"/>
      <c r="AI105" s="24"/>
      <c r="AJ105" s="36"/>
      <c r="AK105" s="36"/>
      <c r="AL105" s="36"/>
      <c r="AM105" s="24"/>
      <c r="AN105" s="24"/>
      <c r="AO105" s="24"/>
      <c r="AP105" s="23"/>
      <c r="AQ105" s="23"/>
    </row>
    <row r="106" spans="1:43">
      <c r="A106" s="5"/>
      <c r="B106" s="23"/>
      <c r="C106" s="24"/>
      <c r="D106" s="24"/>
      <c r="E106" s="25"/>
      <c r="F106" s="25"/>
      <c r="G106" s="25"/>
      <c r="H106" s="25"/>
      <c r="I106" s="36"/>
      <c r="J106" s="23"/>
      <c r="K106" s="24"/>
      <c r="L106" s="24"/>
      <c r="M106" s="24"/>
      <c r="N106" s="30"/>
      <c r="O106" s="24"/>
      <c r="P106" s="24"/>
      <c r="Q106" s="23"/>
      <c r="R106" s="24"/>
      <c r="S106" s="24"/>
      <c r="T106" s="24"/>
      <c r="U106" s="17"/>
      <c r="V106" s="36"/>
      <c r="W106" s="36"/>
      <c r="X106" s="24"/>
      <c r="Y106" s="24"/>
      <c r="Z106" s="23"/>
      <c r="AA106" s="23"/>
      <c r="AB106" s="23"/>
      <c r="AC106" s="5"/>
      <c r="AD106" s="5"/>
      <c r="AE106" s="33"/>
      <c r="AF106" s="24"/>
      <c r="AG106" s="24"/>
      <c r="AH106" s="24"/>
      <c r="AI106" s="24"/>
      <c r="AJ106" s="36"/>
      <c r="AK106" s="36"/>
      <c r="AL106" s="36"/>
      <c r="AM106" s="24"/>
      <c r="AN106" s="24"/>
      <c r="AO106" s="24"/>
      <c r="AP106" s="23"/>
      <c r="AQ106" s="23"/>
    </row>
    <row r="107" spans="1:43">
      <c r="A107" s="5"/>
      <c r="B107" s="23"/>
      <c r="C107" s="24"/>
      <c r="D107" s="24"/>
      <c r="E107" s="25"/>
      <c r="F107" s="25"/>
      <c r="G107" s="25"/>
      <c r="H107" s="25"/>
      <c r="I107" s="36"/>
      <c r="J107" s="23"/>
      <c r="K107" s="24"/>
      <c r="L107" s="24"/>
      <c r="M107" s="24"/>
      <c r="N107" s="30"/>
      <c r="O107" s="24"/>
      <c r="P107" s="24"/>
      <c r="Q107" s="23"/>
      <c r="R107" s="24"/>
      <c r="S107" s="24"/>
      <c r="T107" s="24"/>
      <c r="U107" s="17"/>
      <c r="V107" s="36"/>
      <c r="W107" s="36"/>
      <c r="X107" s="24"/>
      <c r="Y107" s="24"/>
      <c r="Z107" s="23"/>
      <c r="AA107" s="23"/>
      <c r="AB107" s="23"/>
      <c r="AC107" s="5"/>
      <c r="AD107" s="5"/>
      <c r="AE107" s="33"/>
      <c r="AF107" s="24"/>
      <c r="AG107" s="24"/>
      <c r="AH107" s="24"/>
      <c r="AI107" s="24"/>
      <c r="AJ107" s="36"/>
      <c r="AK107" s="36"/>
      <c r="AL107" s="36"/>
      <c r="AM107" s="24"/>
      <c r="AN107" s="24"/>
      <c r="AO107" s="24"/>
      <c r="AP107" s="23"/>
      <c r="AQ107" s="23"/>
    </row>
    <row r="108" spans="1:43">
      <c r="A108" s="5"/>
      <c r="B108" s="23"/>
      <c r="C108" s="24"/>
      <c r="D108" s="24"/>
      <c r="E108" s="25"/>
      <c r="F108" s="25"/>
      <c r="G108" s="25"/>
      <c r="H108" s="25"/>
      <c r="I108" s="36"/>
      <c r="J108" s="23"/>
      <c r="K108" s="24"/>
      <c r="L108" s="24"/>
      <c r="M108" s="24"/>
      <c r="N108" s="30"/>
      <c r="O108" s="24"/>
      <c r="P108" s="24"/>
      <c r="Q108" s="23"/>
      <c r="R108" s="24"/>
      <c r="S108" s="24"/>
      <c r="T108" s="24"/>
      <c r="U108" s="17"/>
      <c r="V108" s="36"/>
      <c r="W108" s="36"/>
      <c r="X108" s="24"/>
      <c r="Y108" s="24"/>
      <c r="Z108" s="23"/>
      <c r="AA108" s="23"/>
      <c r="AB108" s="23"/>
      <c r="AC108" s="5"/>
      <c r="AD108" s="5"/>
      <c r="AE108" s="33"/>
      <c r="AF108" s="24"/>
      <c r="AG108" s="24"/>
      <c r="AH108" s="24"/>
      <c r="AI108" s="24"/>
      <c r="AJ108" s="36"/>
      <c r="AK108" s="36"/>
      <c r="AL108" s="36"/>
      <c r="AM108" s="24"/>
      <c r="AN108" s="24"/>
      <c r="AO108" s="24"/>
      <c r="AP108" s="23"/>
      <c r="AQ108" s="23"/>
    </row>
    <row r="109" spans="1:43">
      <c r="A109" s="5"/>
      <c r="B109" s="23"/>
      <c r="C109" s="24"/>
      <c r="D109" s="24"/>
      <c r="E109" s="25"/>
      <c r="F109" s="25"/>
      <c r="G109" s="25"/>
      <c r="H109" s="25"/>
      <c r="I109" s="36"/>
      <c r="J109" s="23"/>
      <c r="K109" s="24"/>
      <c r="L109" s="24"/>
      <c r="M109" s="24"/>
      <c r="N109" s="30"/>
      <c r="O109" s="24"/>
      <c r="P109" s="24"/>
      <c r="Q109" s="23"/>
      <c r="R109" s="24"/>
      <c r="S109" s="24"/>
      <c r="T109" s="24"/>
      <c r="U109" s="17"/>
      <c r="V109" s="36"/>
      <c r="W109" s="36"/>
      <c r="X109" s="24"/>
      <c r="Y109" s="24"/>
      <c r="Z109" s="23"/>
      <c r="AA109" s="23"/>
      <c r="AB109" s="23"/>
      <c r="AC109" s="5"/>
      <c r="AD109" s="5"/>
      <c r="AE109" s="33"/>
      <c r="AF109" s="24"/>
      <c r="AG109" s="24"/>
      <c r="AH109" s="24"/>
      <c r="AI109" s="24"/>
      <c r="AJ109" s="36"/>
      <c r="AK109" s="36"/>
      <c r="AL109" s="36"/>
      <c r="AM109" s="24"/>
      <c r="AN109" s="24"/>
      <c r="AO109" s="24"/>
      <c r="AP109" s="23"/>
      <c r="AQ109" s="23"/>
    </row>
    <row r="110" spans="1:43">
      <c r="A110" s="5"/>
      <c r="B110" s="23"/>
      <c r="C110" s="24"/>
      <c r="D110" s="24"/>
      <c r="E110" s="25"/>
      <c r="F110" s="25"/>
      <c r="G110" s="25"/>
      <c r="H110" s="25"/>
      <c r="I110" s="36"/>
      <c r="J110" s="23"/>
      <c r="K110" s="24"/>
      <c r="L110" s="24"/>
      <c r="M110" s="24"/>
      <c r="N110" s="30"/>
      <c r="O110" s="24"/>
      <c r="P110" s="24"/>
      <c r="Q110" s="23"/>
      <c r="R110" s="24"/>
      <c r="S110" s="24"/>
      <c r="T110" s="24"/>
      <c r="U110" s="17"/>
      <c r="V110" s="36"/>
      <c r="W110" s="36"/>
      <c r="X110" s="24"/>
      <c r="Y110" s="24"/>
      <c r="Z110" s="23"/>
      <c r="AA110" s="23"/>
      <c r="AB110" s="23"/>
      <c r="AC110" s="5"/>
      <c r="AD110" s="5"/>
      <c r="AE110" s="33"/>
      <c r="AF110" s="24"/>
      <c r="AG110" s="24"/>
      <c r="AH110" s="24"/>
      <c r="AI110" s="24"/>
      <c r="AJ110" s="36"/>
      <c r="AK110" s="36"/>
      <c r="AL110" s="36"/>
      <c r="AM110" s="24"/>
      <c r="AN110" s="24"/>
      <c r="AO110" s="24"/>
      <c r="AP110" s="23"/>
      <c r="AQ110" s="23"/>
    </row>
    <row r="111" spans="1:43">
      <c r="A111" s="5"/>
      <c r="B111" s="23"/>
      <c r="C111" s="24"/>
      <c r="D111" s="24"/>
      <c r="E111" s="25"/>
      <c r="F111" s="25"/>
      <c r="G111" s="25"/>
      <c r="H111" s="25"/>
      <c r="I111" s="36"/>
      <c r="J111" s="23"/>
      <c r="K111" s="24"/>
      <c r="L111" s="24"/>
      <c r="M111" s="24"/>
      <c r="N111" s="30"/>
      <c r="O111" s="24"/>
      <c r="P111" s="24"/>
      <c r="Q111" s="23"/>
      <c r="R111" s="24"/>
      <c r="S111" s="24"/>
      <c r="T111" s="24"/>
      <c r="U111" s="17"/>
      <c r="V111" s="36"/>
      <c r="W111" s="36"/>
      <c r="X111" s="24"/>
      <c r="Y111" s="24"/>
      <c r="Z111" s="23"/>
      <c r="AA111" s="23"/>
      <c r="AB111" s="23"/>
      <c r="AC111" s="5"/>
      <c r="AD111" s="5"/>
      <c r="AE111" s="33"/>
      <c r="AF111" s="24"/>
      <c r="AG111" s="24"/>
      <c r="AH111" s="24"/>
      <c r="AI111" s="24"/>
      <c r="AJ111" s="36"/>
      <c r="AK111" s="36"/>
      <c r="AL111" s="36"/>
      <c r="AM111" s="24"/>
      <c r="AN111" s="24"/>
      <c r="AO111" s="24"/>
      <c r="AP111" s="23"/>
      <c r="AQ111" s="23"/>
    </row>
    <row r="112" spans="1:43">
      <c r="A112" s="5"/>
      <c r="B112" s="23"/>
      <c r="C112" s="24"/>
      <c r="D112" s="24"/>
      <c r="E112" s="25"/>
      <c r="F112" s="25"/>
      <c r="G112" s="25"/>
      <c r="H112" s="25"/>
      <c r="I112" s="36"/>
      <c r="J112" s="23"/>
      <c r="K112" s="24"/>
      <c r="L112" s="24"/>
      <c r="M112" s="24"/>
      <c r="N112" s="30"/>
      <c r="O112" s="24"/>
      <c r="P112" s="24"/>
      <c r="Q112" s="23"/>
      <c r="R112" s="24"/>
      <c r="S112" s="24"/>
      <c r="T112" s="24"/>
      <c r="U112" s="17"/>
      <c r="V112" s="36"/>
      <c r="W112" s="36"/>
      <c r="X112" s="24"/>
      <c r="Y112" s="24"/>
      <c r="Z112" s="23"/>
      <c r="AA112" s="23"/>
      <c r="AB112" s="23"/>
      <c r="AC112" s="5"/>
      <c r="AD112" s="5"/>
      <c r="AE112" s="33"/>
      <c r="AF112" s="24"/>
      <c r="AG112" s="24"/>
      <c r="AH112" s="24"/>
      <c r="AI112" s="24"/>
      <c r="AJ112" s="36"/>
      <c r="AK112" s="36"/>
      <c r="AL112" s="36"/>
      <c r="AM112" s="24"/>
      <c r="AN112" s="24"/>
      <c r="AO112" s="24"/>
      <c r="AP112" s="23"/>
      <c r="AQ112" s="23"/>
    </row>
    <row r="113" spans="1:43">
      <c r="A113" s="5"/>
      <c r="B113" s="23"/>
      <c r="C113" s="24"/>
      <c r="D113" s="24"/>
      <c r="E113" s="25"/>
      <c r="F113" s="25"/>
      <c r="G113" s="25"/>
      <c r="H113" s="25"/>
      <c r="I113" s="36"/>
      <c r="J113" s="23"/>
      <c r="K113" s="24"/>
      <c r="L113" s="24"/>
      <c r="M113" s="24"/>
      <c r="N113" s="30"/>
      <c r="O113" s="24"/>
      <c r="P113" s="24"/>
      <c r="Q113" s="23"/>
      <c r="R113" s="24"/>
      <c r="S113" s="24"/>
      <c r="T113" s="24"/>
      <c r="U113" s="17"/>
      <c r="V113" s="36"/>
      <c r="W113" s="36"/>
      <c r="X113" s="24"/>
      <c r="Y113" s="24"/>
      <c r="Z113" s="23"/>
      <c r="AA113" s="23"/>
      <c r="AB113" s="23"/>
      <c r="AC113" s="5"/>
      <c r="AD113" s="5"/>
      <c r="AE113" s="33"/>
      <c r="AF113" s="24"/>
      <c r="AG113" s="24"/>
      <c r="AH113" s="24"/>
      <c r="AI113" s="24"/>
      <c r="AJ113" s="36"/>
      <c r="AK113" s="36"/>
      <c r="AL113" s="36"/>
      <c r="AM113" s="24"/>
      <c r="AN113" s="24"/>
      <c r="AO113" s="24"/>
      <c r="AP113" s="23"/>
      <c r="AQ113" s="23"/>
    </row>
    <row r="114" spans="1:43">
      <c r="A114" s="5"/>
      <c r="B114" s="23"/>
      <c r="C114" s="24"/>
      <c r="D114" s="24"/>
      <c r="E114" s="25"/>
      <c r="F114" s="25"/>
      <c r="G114" s="25"/>
      <c r="H114" s="25"/>
      <c r="I114" s="36"/>
      <c r="J114" s="23"/>
      <c r="K114" s="24"/>
      <c r="L114" s="24"/>
      <c r="M114" s="24"/>
      <c r="N114" s="30"/>
      <c r="O114" s="24"/>
      <c r="P114" s="24"/>
      <c r="Q114" s="23"/>
      <c r="R114" s="24"/>
      <c r="S114" s="24"/>
      <c r="T114" s="24"/>
      <c r="U114" s="17"/>
      <c r="V114" s="36"/>
      <c r="W114" s="36"/>
      <c r="X114" s="24"/>
      <c r="Y114" s="24"/>
      <c r="Z114" s="23"/>
      <c r="AA114" s="23"/>
      <c r="AB114" s="23"/>
      <c r="AC114" s="5"/>
      <c r="AD114" s="5"/>
      <c r="AE114" s="33"/>
      <c r="AF114" s="24"/>
      <c r="AG114" s="24"/>
      <c r="AH114" s="24"/>
      <c r="AI114" s="24"/>
      <c r="AJ114" s="36"/>
      <c r="AK114" s="36"/>
      <c r="AL114" s="36"/>
      <c r="AM114" s="24"/>
      <c r="AN114" s="24"/>
      <c r="AO114" s="24"/>
      <c r="AP114" s="23"/>
      <c r="AQ114" s="23"/>
    </row>
    <row r="115" spans="1:43">
      <c r="A115" s="5"/>
      <c r="B115" s="23"/>
      <c r="C115" s="24"/>
      <c r="D115" s="24"/>
      <c r="E115" s="25"/>
      <c r="F115" s="25"/>
      <c r="G115" s="25"/>
      <c r="H115" s="25"/>
      <c r="I115" s="36"/>
      <c r="J115" s="23"/>
      <c r="K115" s="24"/>
      <c r="L115" s="24"/>
      <c r="M115" s="24"/>
      <c r="N115" s="30"/>
      <c r="O115" s="24"/>
      <c r="P115" s="24"/>
      <c r="Q115" s="23"/>
      <c r="R115" s="24"/>
      <c r="S115" s="24"/>
      <c r="T115" s="24"/>
      <c r="U115" s="17"/>
      <c r="V115" s="36"/>
      <c r="W115" s="36"/>
      <c r="X115" s="24"/>
      <c r="Y115" s="24"/>
      <c r="Z115" s="23"/>
      <c r="AA115" s="23"/>
      <c r="AB115" s="23"/>
      <c r="AC115" s="5"/>
      <c r="AD115" s="5"/>
      <c r="AE115" s="33"/>
      <c r="AF115" s="24"/>
      <c r="AG115" s="24"/>
      <c r="AH115" s="24"/>
      <c r="AI115" s="24"/>
      <c r="AJ115" s="36"/>
      <c r="AK115" s="36"/>
      <c r="AL115" s="36"/>
      <c r="AM115" s="24"/>
      <c r="AN115" s="24"/>
      <c r="AO115" s="24"/>
      <c r="AP115" s="23"/>
      <c r="AQ115" s="23"/>
    </row>
    <row r="116" spans="1:43">
      <c r="A116" s="5"/>
      <c r="B116" s="23"/>
      <c r="C116" s="24"/>
      <c r="D116" s="24"/>
      <c r="E116" s="25"/>
      <c r="F116" s="25"/>
      <c r="G116" s="25"/>
      <c r="H116" s="25"/>
      <c r="I116" s="36"/>
      <c r="J116" s="23"/>
      <c r="K116" s="24"/>
      <c r="L116" s="24"/>
      <c r="M116" s="24"/>
      <c r="N116" s="30"/>
      <c r="O116" s="24"/>
      <c r="P116" s="24"/>
      <c r="Q116" s="23"/>
      <c r="R116" s="24"/>
      <c r="S116" s="24"/>
      <c r="T116" s="24"/>
      <c r="U116" s="17"/>
      <c r="V116" s="36"/>
      <c r="W116" s="36"/>
      <c r="X116" s="24"/>
      <c r="Y116" s="24"/>
      <c r="Z116" s="23"/>
      <c r="AA116" s="23"/>
      <c r="AB116" s="23"/>
      <c r="AC116" s="5"/>
      <c r="AD116" s="5"/>
      <c r="AE116" s="33"/>
      <c r="AF116" s="24"/>
      <c r="AG116" s="24"/>
      <c r="AH116" s="24"/>
      <c r="AI116" s="24"/>
      <c r="AJ116" s="36"/>
      <c r="AK116" s="36"/>
      <c r="AL116" s="36"/>
      <c r="AM116" s="24"/>
      <c r="AN116" s="24"/>
      <c r="AO116" s="24"/>
      <c r="AP116" s="23"/>
      <c r="AQ116" s="23"/>
    </row>
    <row r="117" spans="1:43">
      <c r="A117" s="5"/>
      <c r="B117" s="23"/>
      <c r="C117" s="24"/>
      <c r="D117" s="24"/>
      <c r="E117" s="25"/>
      <c r="F117" s="25"/>
      <c r="G117" s="25"/>
      <c r="H117" s="25"/>
      <c r="I117" s="36"/>
      <c r="J117" s="23"/>
      <c r="K117" s="24"/>
      <c r="L117" s="24"/>
      <c r="M117" s="24"/>
      <c r="N117" s="30"/>
      <c r="O117" s="24"/>
      <c r="P117" s="24"/>
      <c r="Q117" s="23"/>
      <c r="R117" s="24"/>
      <c r="S117" s="24"/>
      <c r="T117" s="24"/>
      <c r="U117" s="17"/>
      <c r="V117" s="36"/>
      <c r="W117" s="36"/>
      <c r="X117" s="24"/>
      <c r="Y117" s="24"/>
      <c r="Z117" s="23"/>
      <c r="AA117" s="23"/>
      <c r="AB117" s="23"/>
      <c r="AC117" s="5"/>
      <c r="AD117" s="5"/>
      <c r="AE117" s="33"/>
      <c r="AF117" s="24"/>
      <c r="AG117" s="24"/>
      <c r="AH117" s="24"/>
      <c r="AI117" s="24"/>
      <c r="AJ117" s="36"/>
      <c r="AK117" s="36"/>
      <c r="AL117" s="36"/>
      <c r="AM117" s="24"/>
      <c r="AN117" s="24"/>
      <c r="AO117" s="24"/>
      <c r="AP117" s="23"/>
      <c r="AQ117" s="23"/>
    </row>
    <row r="118" spans="1:43">
      <c r="A118" s="5"/>
      <c r="B118" s="23"/>
      <c r="C118" s="24"/>
      <c r="D118" s="24"/>
      <c r="E118" s="25"/>
      <c r="F118" s="25"/>
      <c r="G118" s="25"/>
      <c r="H118" s="25"/>
      <c r="I118" s="36"/>
      <c r="J118" s="23"/>
      <c r="K118" s="24"/>
      <c r="L118" s="24"/>
      <c r="M118" s="24"/>
      <c r="N118" s="30"/>
      <c r="O118" s="24"/>
      <c r="P118" s="24"/>
      <c r="Q118" s="23"/>
      <c r="R118" s="24"/>
      <c r="S118" s="24"/>
      <c r="T118" s="24"/>
      <c r="U118" s="17"/>
      <c r="V118" s="36"/>
      <c r="W118" s="36"/>
      <c r="X118" s="24"/>
      <c r="Y118" s="24"/>
      <c r="Z118" s="23"/>
      <c r="AA118" s="23"/>
      <c r="AB118" s="23"/>
      <c r="AC118" s="5"/>
      <c r="AD118" s="5"/>
      <c r="AE118" s="33"/>
      <c r="AF118" s="24"/>
      <c r="AG118" s="24"/>
      <c r="AH118" s="24"/>
      <c r="AI118" s="24"/>
      <c r="AJ118" s="36"/>
      <c r="AK118" s="36"/>
      <c r="AL118" s="36"/>
      <c r="AM118" s="24"/>
      <c r="AN118" s="24"/>
      <c r="AO118" s="24"/>
      <c r="AP118" s="23"/>
      <c r="AQ118" s="23"/>
    </row>
    <row r="119" spans="1:43">
      <c r="A119" s="5"/>
      <c r="B119" s="23"/>
      <c r="C119" s="24"/>
      <c r="D119" s="24"/>
      <c r="E119" s="25"/>
      <c r="F119" s="25"/>
      <c r="G119" s="25"/>
      <c r="H119" s="25"/>
      <c r="I119" s="36"/>
      <c r="J119" s="23"/>
      <c r="K119" s="24"/>
      <c r="L119" s="24"/>
      <c r="M119" s="24"/>
      <c r="N119" s="30"/>
      <c r="O119" s="24"/>
      <c r="P119" s="24"/>
      <c r="Q119" s="23"/>
      <c r="R119" s="24"/>
      <c r="S119" s="24"/>
      <c r="T119" s="24"/>
      <c r="U119" s="17"/>
      <c r="V119" s="36"/>
      <c r="W119" s="36"/>
      <c r="X119" s="24"/>
      <c r="Y119" s="24"/>
      <c r="Z119" s="23"/>
      <c r="AA119" s="23"/>
      <c r="AB119" s="23"/>
      <c r="AC119" s="5"/>
      <c r="AD119" s="5"/>
      <c r="AE119" s="33"/>
      <c r="AF119" s="24"/>
      <c r="AG119" s="24"/>
      <c r="AH119" s="24"/>
      <c r="AI119" s="24"/>
      <c r="AJ119" s="36"/>
      <c r="AK119" s="36"/>
      <c r="AL119" s="36"/>
      <c r="AM119" s="24"/>
      <c r="AN119" s="24"/>
      <c r="AO119" s="24"/>
      <c r="AP119" s="23"/>
      <c r="AQ119" s="23"/>
    </row>
    <row r="120" spans="1:43">
      <c r="A120" s="5"/>
      <c r="B120" s="23"/>
      <c r="C120" s="24"/>
      <c r="D120" s="24"/>
      <c r="E120" s="25"/>
      <c r="F120" s="25"/>
      <c r="G120" s="25"/>
      <c r="H120" s="25"/>
      <c r="I120" s="36"/>
      <c r="J120" s="23"/>
      <c r="K120" s="24"/>
      <c r="L120" s="24"/>
      <c r="M120" s="24"/>
      <c r="N120" s="30"/>
      <c r="O120" s="24"/>
      <c r="P120" s="24"/>
      <c r="Q120" s="23"/>
      <c r="R120" s="24"/>
      <c r="S120" s="24"/>
      <c r="T120" s="24"/>
      <c r="U120" s="17"/>
      <c r="V120" s="36"/>
      <c r="W120" s="36"/>
      <c r="X120" s="24"/>
      <c r="Y120" s="24"/>
      <c r="Z120" s="23"/>
      <c r="AA120" s="23"/>
      <c r="AB120" s="23"/>
      <c r="AC120" s="5"/>
      <c r="AD120" s="5"/>
      <c r="AE120" s="33"/>
      <c r="AF120" s="24"/>
      <c r="AG120" s="24"/>
      <c r="AH120" s="24"/>
      <c r="AI120" s="24"/>
      <c r="AJ120" s="36"/>
      <c r="AK120" s="36"/>
      <c r="AL120" s="36"/>
      <c r="AM120" s="24"/>
      <c r="AN120" s="24"/>
      <c r="AO120" s="24"/>
      <c r="AP120" s="23"/>
      <c r="AQ120" s="23"/>
    </row>
    <row r="121" spans="1:43">
      <c r="A121" s="5"/>
      <c r="B121" s="23"/>
      <c r="C121" s="24"/>
      <c r="D121" s="24"/>
      <c r="E121" s="25"/>
      <c r="F121" s="25"/>
      <c r="G121" s="25"/>
      <c r="H121" s="25"/>
      <c r="I121" s="36"/>
      <c r="J121" s="23"/>
      <c r="K121" s="24"/>
      <c r="L121" s="24"/>
      <c r="M121" s="24"/>
      <c r="N121" s="30"/>
      <c r="O121" s="24"/>
      <c r="P121" s="24"/>
      <c r="Q121" s="23"/>
      <c r="R121" s="24"/>
      <c r="S121" s="24"/>
      <c r="T121" s="24"/>
      <c r="U121" s="17"/>
      <c r="V121" s="36"/>
      <c r="W121" s="36"/>
      <c r="X121" s="24"/>
      <c r="Y121" s="24"/>
      <c r="Z121" s="23"/>
      <c r="AA121" s="23"/>
      <c r="AB121" s="23"/>
      <c r="AC121" s="5"/>
      <c r="AD121" s="5"/>
      <c r="AE121" s="33"/>
      <c r="AF121" s="24"/>
      <c r="AG121" s="24"/>
      <c r="AH121" s="24"/>
      <c r="AI121" s="24"/>
      <c r="AJ121" s="36"/>
      <c r="AK121" s="36"/>
      <c r="AL121" s="36"/>
      <c r="AM121" s="24"/>
      <c r="AN121" s="24"/>
      <c r="AO121" s="24"/>
      <c r="AP121" s="23"/>
      <c r="AQ121" s="23"/>
    </row>
    <row r="122" spans="1:43">
      <c r="A122" s="5"/>
      <c r="B122" s="23"/>
      <c r="C122" s="24"/>
      <c r="D122" s="24"/>
      <c r="E122" s="25"/>
      <c r="F122" s="25"/>
      <c r="G122" s="25"/>
      <c r="H122" s="25"/>
      <c r="I122" s="36"/>
      <c r="J122" s="23"/>
      <c r="K122" s="24"/>
      <c r="L122" s="24"/>
      <c r="M122" s="24"/>
      <c r="N122" s="30"/>
      <c r="O122" s="24"/>
      <c r="P122" s="24"/>
      <c r="Q122" s="23"/>
      <c r="R122" s="24"/>
      <c r="S122" s="24"/>
      <c r="T122" s="24"/>
      <c r="U122" s="17"/>
      <c r="V122" s="36"/>
      <c r="W122" s="36"/>
      <c r="X122" s="24"/>
      <c r="Y122" s="24"/>
      <c r="Z122" s="23"/>
      <c r="AA122" s="23"/>
      <c r="AB122" s="23"/>
      <c r="AC122" s="5"/>
      <c r="AD122" s="5"/>
      <c r="AE122" s="33"/>
      <c r="AF122" s="24"/>
      <c r="AG122" s="24"/>
      <c r="AH122" s="24"/>
      <c r="AI122" s="24"/>
      <c r="AJ122" s="36"/>
      <c r="AK122" s="36"/>
      <c r="AL122" s="36"/>
      <c r="AM122" s="24"/>
      <c r="AN122" s="24"/>
      <c r="AO122" s="24"/>
      <c r="AP122" s="23"/>
      <c r="AQ122" s="23"/>
    </row>
    <row r="123" spans="1:43">
      <c r="A123" s="5"/>
      <c r="B123" s="23"/>
      <c r="C123" s="24"/>
      <c r="D123" s="24"/>
      <c r="E123" s="25"/>
      <c r="F123" s="25"/>
      <c r="G123" s="25"/>
      <c r="H123" s="25"/>
      <c r="I123" s="36"/>
      <c r="J123" s="23"/>
      <c r="K123" s="24"/>
      <c r="L123" s="24"/>
      <c r="M123" s="24"/>
      <c r="N123" s="30"/>
      <c r="O123" s="24"/>
      <c r="P123" s="24"/>
      <c r="Q123" s="23"/>
      <c r="R123" s="24"/>
      <c r="S123" s="24"/>
      <c r="T123" s="24"/>
      <c r="U123" s="17"/>
      <c r="V123" s="36"/>
      <c r="W123" s="36"/>
      <c r="X123" s="24"/>
      <c r="Y123" s="24"/>
      <c r="Z123" s="23"/>
      <c r="AA123" s="23"/>
      <c r="AB123" s="23"/>
      <c r="AC123" s="5"/>
      <c r="AD123" s="5"/>
      <c r="AE123" s="33"/>
      <c r="AF123" s="24"/>
      <c r="AG123" s="24"/>
      <c r="AH123" s="24"/>
      <c r="AI123" s="24"/>
      <c r="AJ123" s="36"/>
      <c r="AK123" s="36"/>
      <c r="AL123" s="36"/>
      <c r="AM123" s="24"/>
      <c r="AN123" s="24"/>
      <c r="AO123" s="24"/>
      <c r="AP123" s="23"/>
      <c r="AQ123" s="23"/>
    </row>
    <row r="124" spans="1:43">
      <c r="A124" s="5"/>
      <c r="B124" s="23"/>
      <c r="C124" s="24"/>
      <c r="D124" s="24"/>
      <c r="E124" s="25"/>
      <c r="F124" s="25"/>
      <c r="G124" s="25"/>
      <c r="H124" s="25"/>
      <c r="I124" s="36"/>
      <c r="J124" s="23"/>
      <c r="K124" s="24"/>
      <c r="L124" s="24"/>
      <c r="M124" s="24"/>
      <c r="N124" s="30"/>
      <c r="O124" s="24"/>
      <c r="P124" s="24"/>
      <c r="Q124" s="23"/>
      <c r="R124" s="24"/>
      <c r="S124" s="24"/>
      <c r="T124" s="24"/>
      <c r="U124" s="17"/>
      <c r="V124" s="36"/>
      <c r="W124" s="36"/>
      <c r="X124" s="24"/>
      <c r="Y124" s="24"/>
      <c r="Z124" s="23"/>
      <c r="AA124" s="23"/>
      <c r="AB124" s="23"/>
      <c r="AC124" s="5"/>
      <c r="AD124" s="5"/>
      <c r="AE124" s="33"/>
      <c r="AF124" s="24"/>
      <c r="AG124" s="24"/>
      <c r="AH124" s="24"/>
      <c r="AI124" s="24"/>
      <c r="AJ124" s="36"/>
      <c r="AK124" s="36"/>
      <c r="AL124" s="36"/>
      <c r="AM124" s="24"/>
      <c r="AN124" s="24"/>
      <c r="AO124" s="24"/>
      <c r="AP124" s="23"/>
      <c r="AQ124" s="23"/>
    </row>
    <row r="125" spans="1:43">
      <c r="A125" s="5"/>
      <c r="B125" s="23"/>
      <c r="C125" s="24"/>
      <c r="D125" s="24"/>
      <c r="E125" s="25"/>
      <c r="F125" s="25"/>
      <c r="G125" s="25"/>
      <c r="H125" s="25"/>
      <c r="I125" s="36"/>
      <c r="J125" s="23"/>
      <c r="K125" s="24"/>
      <c r="L125" s="24"/>
      <c r="M125" s="24"/>
      <c r="N125" s="30"/>
      <c r="O125" s="24"/>
      <c r="P125" s="24"/>
      <c r="Q125" s="23"/>
      <c r="R125" s="24"/>
      <c r="S125" s="24"/>
      <c r="T125" s="24"/>
      <c r="U125" s="17"/>
      <c r="V125" s="36"/>
      <c r="W125" s="36"/>
      <c r="X125" s="24"/>
      <c r="Y125" s="24"/>
      <c r="Z125" s="23"/>
      <c r="AA125" s="23"/>
      <c r="AB125" s="23"/>
      <c r="AC125" s="5"/>
      <c r="AD125" s="5"/>
      <c r="AE125" s="33"/>
      <c r="AF125" s="24"/>
      <c r="AG125" s="24"/>
      <c r="AH125" s="24"/>
      <c r="AI125" s="24"/>
      <c r="AJ125" s="36"/>
      <c r="AK125" s="36"/>
      <c r="AL125" s="36"/>
      <c r="AM125" s="24"/>
      <c r="AN125" s="24"/>
      <c r="AO125" s="24"/>
      <c r="AP125" s="23"/>
      <c r="AQ125" s="23"/>
    </row>
    <row r="126" spans="1:43">
      <c r="A126" s="5"/>
      <c r="B126" s="23"/>
      <c r="C126" s="24"/>
      <c r="D126" s="24"/>
      <c r="E126" s="25"/>
      <c r="F126" s="25"/>
      <c r="G126" s="25"/>
      <c r="H126" s="25"/>
      <c r="I126" s="36"/>
      <c r="J126" s="23"/>
      <c r="K126" s="24"/>
      <c r="L126" s="24"/>
      <c r="M126" s="24"/>
      <c r="N126" s="30"/>
      <c r="O126" s="24"/>
      <c r="P126" s="24"/>
      <c r="Q126" s="23"/>
      <c r="R126" s="24"/>
      <c r="S126" s="24"/>
      <c r="T126" s="24"/>
      <c r="U126" s="17"/>
      <c r="V126" s="36"/>
      <c r="W126" s="36"/>
      <c r="X126" s="24"/>
      <c r="Y126" s="24"/>
      <c r="Z126" s="23"/>
      <c r="AA126" s="23"/>
      <c r="AB126" s="23"/>
      <c r="AC126" s="5"/>
      <c r="AD126" s="5"/>
      <c r="AE126" s="33"/>
      <c r="AF126" s="24"/>
      <c r="AG126" s="24"/>
      <c r="AH126" s="24"/>
      <c r="AI126" s="24"/>
      <c r="AJ126" s="36"/>
      <c r="AK126" s="36"/>
      <c r="AL126" s="36"/>
      <c r="AM126" s="24"/>
      <c r="AN126" s="24"/>
      <c r="AO126" s="24"/>
      <c r="AP126" s="23"/>
      <c r="AQ126" s="23"/>
    </row>
    <row r="127" spans="1:43">
      <c r="A127" s="5"/>
      <c r="B127" s="23"/>
      <c r="C127" s="24"/>
      <c r="D127" s="24"/>
      <c r="E127" s="25"/>
      <c r="F127" s="25"/>
      <c r="G127" s="25"/>
      <c r="H127" s="25"/>
      <c r="I127" s="36"/>
      <c r="J127" s="23"/>
      <c r="K127" s="24"/>
      <c r="L127" s="24"/>
      <c r="M127" s="24"/>
      <c r="N127" s="30"/>
      <c r="O127" s="24"/>
      <c r="P127" s="24"/>
      <c r="Q127" s="23"/>
      <c r="R127" s="24"/>
      <c r="S127" s="24"/>
      <c r="T127" s="24"/>
      <c r="U127" s="17"/>
      <c r="V127" s="36"/>
      <c r="W127" s="36"/>
      <c r="X127" s="24"/>
      <c r="Y127" s="24"/>
      <c r="Z127" s="23"/>
      <c r="AA127" s="23"/>
      <c r="AB127" s="23"/>
      <c r="AC127" s="5"/>
      <c r="AD127" s="5"/>
      <c r="AE127" s="33"/>
      <c r="AF127" s="24"/>
      <c r="AG127" s="24"/>
      <c r="AH127" s="24"/>
      <c r="AI127" s="24"/>
      <c r="AJ127" s="36"/>
      <c r="AK127" s="36"/>
      <c r="AL127" s="36"/>
      <c r="AM127" s="24"/>
      <c r="AN127" s="24"/>
      <c r="AO127" s="24"/>
      <c r="AP127" s="23"/>
      <c r="AQ127" s="23"/>
    </row>
    <row r="128" spans="1:43">
      <c r="A128" s="5"/>
      <c r="B128" s="23"/>
      <c r="C128" s="24"/>
      <c r="D128" s="24"/>
      <c r="E128" s="25"/>
      <c r="F128" s="25"/>
      <c r="G128" s="25"/>
      <c r="H128" s="25"/>
      <c r="I128" s="36"/>
      <c r="J128" s="23"/>
      <c r="K128" s="24"/>
      <c r="L128" s="24"/>
      <c r="M128" s="24"/>
      <c r="N128" s="30"/>
      <c r="O128" s="24"/>
      <c r="P128" s="24"/>
      <c r="Q128" s="23"/>
      <c r="R128" s="24"/>
      <c r="S128" s="24"/>
      <c r="T128" s="24"/>
      <c r="U128" s="17"/>
      <c r="V128" s="36"/>
      <c r="W128" s="36"/>
      <c r="X128" s="24"/>
      <c r="Y128" s="24"/>
      <c r="Z128" s="23"/>
      <c r="AA128" s="23"/>
      <c r="AB128" s="23"/>
      <c r="AC128" s="5"/>
      <c r="AD128" s="5"/>
      <c r="AE128" s="33"/>
      <c r="AF128" s="24"/>
      <c r="AG128" s="24"/>
      <c r="AH128" s="24"/>
      <c r="AI128" s="24"/>
      <c r="AJ128" s="36"/>
      <c r="AK128" s="36"/>
      <c r="AL128" s="36"/>
      <c r="AM128" s="24"/>
      <c r="AN128" s="24"/>
      <c r="AO128" s="24"/>
      <c r="AP128" s="23"/>
      <c r="AQ128" s="23"/>
    </row>
    <row r="129" spans="1:43">
      <c r="A129" s="5"/>
      <c r="B129" s="23"/>
      <c r="C129" s="24"/>
      <c r="D129" s="24"/>
      <c r="E129" s="25"/>
      <c r="F129" s="25"/>
      <c r="G129" s="25"/>
      <c r="H129" s="25"/>
      <c r="I129" s="36"/>
      <c r="J129" s="23"/>
      <c r="K129" s="24"/>
      <c r="L129" s="24"/>
      <c r="M129" s="24"/>
      <c r="N129" s="30"/>
      <c r="O129" s="24"/>
      <c r="P129" s="24"/>
      <c r="Q129" s="23"/>
      <c r="R129" s="24"/>
      <c r="S129" s="24"/>
      <c r="T129" s="24"/>
      <c r="U129" s="17"/>
      <c r="V129" s="36"/>
      <c r="W129" s="36"/>
      <c r="X129" s="24"/>
      <c r="Y129" s="24"/>
      <c r="Z129" s="23"/>
      <c r="AA129" s="23"/>
      <c r="AB129" s="23"/>
      <c r="AC129" s="5"/>
      <c r="AD129" s="5"/>
      <c r="AE129" s="33"/>
      <c r="AF129" s="24"/>
      <c r="AG129" s="24"/>
      <c r="AH129" s="24"/>
      <c r="AI129" s="24"/>
      <c r="AJ129" s="36"/>
      <c r="AK129" s="36"/>
      <c r="AL129" s="36"/>
      <c r="AM129" s="24"/>
      <c r="AN129" s="24"/>
      <c r="AO129" s="24"/>
      <c r="AP129" s="23"/>
      <c r="AQ129" s="23"/>
    </row>
    <row r="130" spans="1:43">
      <c r="A130" s="5"/>
      <c r="B130" s="23"/>
      <c r="C130" s="24"/>
      <c r="D130" s="24"/>
      <c r="E130" s="25"/>
      <c r="F130" s="25"/>
      <c r="G130" s="25"/>
      <c r="H130" s="25"/>
      <c r="I130" s="36"/>
      <c r="J130" s="23"/>
      <c r="K130" s="24"/>
      <c r="L130" s="24"/>
      <c r="M130" s="24"/>
      <c r="N130" s="30"/>
      <c r="O130" s="24"/>
      <c r="P130" s="24"/>
      <c r="Q130" s="23"/>
      <c r="R130" s="24"/>
      <c r="S130" s="24"/>
      <c r="T130" s="24"/>
      <c r="U130" s="17"/>
      <c r="V130" s="36"/>
      <c r="W130" s="36"/>
      <c r="X130" s="24"/>
      <c r="Y130" s="24"/>
      <c r="Z130" s="23"/>
      <c r="AA130" s="23"/>
      <c r="AB130" s="23"/>
      <c r="AC130" s="5"/>
      <c r="AD130" s="5"/>
      <c r="AE130" s="33"/>
      <c r="AF130" s="24"/>
      <c r="AG130" s="24"/>
      <c r="AH130" s="24"/>
      <c r="AI130" s="24"/>
      <c r="AJ130" s="36"/>
      <c r="AK130" s="36"/>
      <c r="AL130" s="36"/>
      <c r="AM130" s="24"/>
      <c r="AN130" s="24"/>
      <c r="AO130" s="24"/>
      <c r="AP130" s="23"/>
      <c r="AQ130" s="23"/>
    </row>
    <row r="131" spans="1:43">
      <c r="A131" s="5"/>
      <c r="B131" s="23"/>
      <c r="C131" s="24"/>
      <c r="D131" s="24"/>
      <c r="E131" s="25"/>
      <c r="F131" s="25"/>
      <c r="G131" s="25"/>
      <c r="H131" s="25"/>
      <c r="I131" s="36"/>
      <c r="J131" s="23"/>
      <c r="K131" s="24"/>
      <c r="L131" s="24"/>
      <c r="M131" s="24"/>
      <c r="N131" s="30"/>
      <c r="O131" s="24"/>
      <c r="P131" s="24"/>
      <c r="Q131" s="23"/>
      <c r="R131" s="24"/>
      <c r="S131" s="24"/>
      <c r="T131" s="24"/>
      <c r="U131" s="17"/>
      <c r="V131" s="36"/>
      <c r="W131" s="36"/>
      <c r="X131" s="24"/>
      <c r="Y131" s="24"/>
      <c r="Z131" s="23"/>
      <c r="AA131" s="23"/>
      <c r="AB131" s="23"/>
      <c r="AC131" s="5"/>
      <c r="AD131" s="5"/>
      <c r="AE131" s="33"/>
      <c r="AF131" s="24"/>
      <c r="AG131" s="24"/>
      <c r="AH131" s="24"/>
      <c r="AI131" s="24"/>
      <c r="AJ131" s="36"/>
      <c r="AK131" s="36"/>
      <c r="AL131" s="36"/>
      <c r="AM131" s="24"/>
      <c r="AN131" s="24"/>
      <c r="AO131" s="24"/>
      <c r="AP131" s="23"/>
      <c r="AQ131" s="23"/>
    </row>
    <row r="132" spans="1:43">
      <c r="A132" s="5"/>
      <c r="B132" s="23"/>
      <c r="C132" s="24"/>
      <c r="D132" s="24"/>
      <c r="E132" s="25"/>
      <c r="F132" s="25"/>
      <c r="G132" s="25"/>
      <c r="H132" s="25"/>
      <c r="I132" s="36"/>
      <c r="J132" s="23"/>
      <c r="K132" s="24"/>
      <c r="L132" s="24"/>
      <c r="M132" s="24"/>
      <c r="N132" s="30"/>
      <c r="O132" s="24"/>
      <c r="P132" s="24"/>
      <c r="Q132" s="23"/>
      <c r="R132" s="24"/>
      <c r="S132" s="24"/>
      <c r="T132" s="24"/>
      <c r="U132" s="17"/>
      <c r="V132" s="36"/>
      <c r="W132" s="36"/>
      <c r="X132" s="24"/>
      <c r="Y132" s="24"/>
      <c r="Z132" s="23"/>
      <c r="AA132" s="23"/>
      <c r="AB132" s="23"/>
      <c r="AC132" s="5"/>
      <c r="AD132" s="5"/>
      <c r="AE132" s="33"/>
      <c r="AF132" s="24"/>
      <c r="AG132" s="24"/>
      <c r="AH132" s="24"/>
      <c r="AI132" s="24"/>
      <c r="AJ132" s="36"/>
      <c r="AK132" s="36"/>
      <c r="AL132" s="36"/>
      <c r="AM132" s="24"/>
      <c r="AN132" s="24"/>
      <c r="AO132" s="24"/>
      <c r="AP132" s="23"/>
      <c r="AQ132" s="23"/>
    </row>
    <row r="133" spans="1:43">
      <c r="A133" s="5"/>
      <c r="B133" s="23"/>
      <c r="C133" s="24"/>
      <c r="D133" s="24"/>
      <c r="E133" s="25"/>
      <c r="F133" s="25"/>
      <c r="G133" s="25"/>
      <c r="H133" s="25"/>
      <c r="I133" s="36"/>
      <c r="J133" s="23"/>
      <c r="K133" s="24"/>
      <c r="L133" s="24"/>
      <c r="M133" s="24"/>
      <c r="N133" s="30"/>
      <c r="O133" s="24"/>
      <c r="P133" s="24"/>
      <c r="Q133" s="23"/>
      <c r="R133" s="24"/>
      <c r="S133" s="24"/>
      <c r="T133" s="24"/>
      <c r="U133" s="17"/>
      <c r="V133" s="36"/>
      <c r="W133" s="36"/>
      <c r="X133" s="24"/>
      <c r="Y133" s="24"/>
      <c r="Z133" s="23"/>
      <c r="AA133" s="23"/>
      <c r="AB133" s="23"/>
      <c r="AC133" s="5"/>
      <c r="AD133" s="5"/>
      <c r="AE133" s="33"/>
      <c r="AF133" s="24"/>
      <c r="AG133" s="24"/>
      <c r="AH133" s="24"/>
      <c r="AI133" s="24"/>
      <c r="AJ133" s="36"/>
      <c r="AK133" s="36"/>
      <c r="AL133" s="36"/>
      <c r="AM133" s="24"/>
      <c r="AN133" s="24"/>
      <c r="AO133" s="24"/>
      <c r="AP133" s="23"/>
      <c r="AQ133" s="23"/>
    </row>
    <row r="134" spans="1:43">
      <c r="A134" s="5"/>
      <c r="B134" s="23"/>
      <c r="C134" s="24"/>
      <c r="D134" s="24"/>
      <c r="E134" s="25"/>
      <c r="F134" s="25"/>
      <c r="G134" s="25"/>
      <c r="H134" s="25"/>
      <c r="I134" s="36"/>
      <c r="J134" s="23"/>
      <c r="K134" s="24"/>
      <c r="L134" s="24"/>
      <c r="M134" s="24"/>
      <c r="N134" s="30"/>
      <c r="O134" s="24"/>
      <c r="P134" s="24"/>
      <c r="Q134" s="23"/>
      <c r="R134" s="24"/>
      <c r="S134" s="24"/>
      <c r="T134" s="24"/>
      <c r="U134" s="17"/>
      <c r="V134" s="36"/>
      <c r="W134" s="36"/>
      <c r="X134" s="24"/>
      <c r="Y134" s="24"/>
      <c r="Z134" s="23"/>
      <c r="AA134" s="23"/>
      <c r="AB134" s="23"/>
      <c r="AC134" s="5"/>
      <c r="AD134" s="5"/>
      <c r="AE134" s="33"/>
      <c r="AF134" s="24"/>
      <c r="AG134" s="24"/>
      <c r="AH134" s="24"/>
      <c r="AI134" s="24"/>
      <c r="AJ134" s="36"/>
      <c r="AK134" s="36"/>
      <c r="AL134" s="36"/>
      <c r="AM134" s="24"/>
      <c r="AN134" s="24"/>
      <c r="AO134" s="24"/>
      <c r="AP134" s="23"/>
      <c r="AQ134" s="23"/>
    </row>
    <row r="135" spans="1:43">
      <c r="A135" s="5"/>
      <c r="B135" s="23"/>
      <c r="C135" s="24"/>
      <c r="D135" s="24"/>
      <c r="E135" s="25"/>
      <c r="F135" s="25"/>
      <c r="G135" s="25"/>
      <c r="H135" s="25"/>
      <c r="I135" s="36"/>
      <c r="J135" s="23"/>
      <c r="K135" s="24"/>
      <c r="L135" s="24"/>
      <c r="M135" s="24"/>
      <c r="N135" s="30"/>
      <c r="O135" s="24"/>
      <c r="P135" s="24"/>
      <c r="Q135" s="23"/>
      <c r="R135" s="24"/>
      <c r="S135" s="24"/>
      <c r="T135" s="24"/>
      <c r="U135" s="17"/>
      <c r="V135" s="36"/>
      <c r="W135" s="36"/>
      <c r="X135" s="24"/>
      <c r="Y135" s="24"/>
      <c r="Z135" s="23"/>
      <c r="AA135" s="23"/>
      <c r="AB135" s="23"/>
      <c r="AC135" s="5"/>
      <c r="AD135" s="5"/>
      <c r="AE135" s="33"/>
      <c r="AF135" s="24"/>
      <c r="AG135" s="24"/>
      <c r="AH135" s="24"/>
      <c r="AI135" s="24"/>
      <c r="AJ135" s="36"/>
      <c r="AK135" s="36"/>
      <c r="AL135" s="36"/>
      <c r="AM135" s="24"/>
      <c r="AN135" s="24"/>
      <c r="AO135" s="24"/>
      <c r="AP135" s="23"/>
      <c r="AQ135" s="23"/>
    </row>
    <row r="136" spans="1:43">
      <c r="A136" s="5"/>
      <c r="B136" s="23"/>
      <c r="C136" s="24"/>
      <c r="D136" s="24"/>
      <c r="E136" s="25"/>
      <c r="F136" s="25"/>
      <c r="G136" s="25"/>
      <c r="H136" s="25"/>
      <c r="I136" s="36"/>
      <c r="J136" s="23"/>
      <c r="K136" s="24"/>
      <c r="L136" s="24"/>
      <c r="M136" s="24"/>
      <c r="N136" s="30"/>
      <c r="O136" s="24"/>
      <c r="P136" s="24"/>
      <c r="Q136" s="23"/>
      <c r="R136" s="24"/>
      <c r="S136" s="24"/>
      <c r="T136" s="24"/>
      <c r="U136" s="17"/>
      <c r="V136" s="36"/>
      <c r="W136" s="36"/>
      <c r="X136" s="24"/>
      <c r="Y136" s="24"/>
      <c r="Z136" s="23"/>
      <c r="AA136" s="23"/>
      <c r="AB136" s="23"/>
      <c r="AC136" s="5"/>
      <c r="AD136" s="5"/>
      <c r="AE136" s="33"/>
      <c r="AF136" s="24"/>
      <c r="AG136" s="24"/>
      <c r="AH136" s="24"/>
      <c r="AI136" s="24"/>
      <c r="AJ136" s="36"/>
      <c r="AK136" s="36"/>
      <c r="AL136" s="36"/>
      <c r="AM136" s="24"/>
      <c r="AN136" s="24"/>
      <c r="AO136" s="24"/>
      <c r="AP136" s="23"/>
      <c r="AQ136" s="23"/>
    </row>
    <row r="137" spans="1:43">
      <c r="A137" s="5"/>
      <c r="B137" s="23"/>
      <c r="C137" s="24"/>
      <c r="D137" s="24"/>
      <c r="E137" s="25"/>
      <c r="F137" s="25"/>
      <c r="G137" s="25"/>
      <c r="H137" s="25"/>
      <c r="I137" s="36"/>
      <c r="J137" s="23"/>
      <c r="K137" s="24"/>
      <c r="L137" s="24"/>
      <c r="M137" s="24"/>
      <c r="N137" s="30"/>
      <c r="O137" s="24"/>
      <c r="P137" s="24"/>
      <c r="Q137" s="23"/>
      <c r="R137" s="24"/>
      <c r="S137" s="24"/>
      <c r="T137" s="24"/>
      <c r="U137" s="17"/>
      <c r="V137" s="36"/>
      <c r="W137" s="36"/>
      <c r="X137" s="24"/>
      <c r="Y137" s="24"/>
      <c r="Z137" s="23"/>
      <c r="AA137" s="23"/>
      <c r="AB137" s="23"/>
      <c r="AC137" s="5"/>
      <c r="AD137" s="5"/>
      <c r="AE137" s="33"/>
      <c r="AF137" s="24"/>
      <c r="AG137" s="24"/>
      <c r="AH137" s="24"/>
      <c r="AI137" s="24"/>
      <c r="AJ137" s="36"/>
      <c r="AK137" s="36"/>
      <c r="AL137" s="36"/>
      <c r="AM137" s="24"/>
      <c r="AN137" s="24"/>
      <c r="AO137" s="24"/>
      <c r="AP137" s="23"/>
      <c r="AQ137" s="23"/>
    </row>
    <row r="138" spans="1:43">
      <c r="A138" s="5"/>
      <c r="B138" s="23"/>
      <c r="C138" s="24"/>
      <c r="D138" s="24"/>
      <c r="E138" s="25"/>
      <c r="F138" s="25"/>
      <c r="G138" s="25"/>
      <c r="H138" s="25"/>
      <c r="I138" s="36"/>
      <c r="J138" s="23"/>
      <c r="K138" s="24"/>
      <c r="L138" s="24"/>
      <c r="M138" s="24"/>
      <c r="N138" s="30"/>
      <c r="O138" s="24"/>
      <c r="P138" s="24"/>
      <c r="Q138" s="23"/>
      <c r="R138" s="24"/>
      <c r="S138" s="24"/>
      <c r="T138" s="24"/>
      <c r="U138" s="17"/>
      <c r="V138" s="36"/>
      <c r="W138" s="36"/>
      <c r="X138" s="24"/>
      <c r="Y138" s="24"/>
      <c r="Z138" s="23"/>
      <c r="AA138" s="23"/>
      <c r="AB138" s="23"/>
      <c r="AC138" s="5"/>
      <c r="AD138" s="5"/>
      <c r="AE138" s="33"/>
      <c r="AF138" s="24"/>
      <c r="AG138" s="24"/>
      <c r="AH138" s="24"/>
      <c r="AI138" s="24"/>
      <c r="AJ138" s="36"/>
      <c r="AK138" s="36"/>
      <c r="AL138" s="36"/>
      <c r="AM138" s="24"/>
      <c r="AN138" s="24"/>
      <c r="AO138" s="24"/>
      <c r="AP138" s="23"/>
      <c r="AQ138" s="23"/>
    </row>
    <row r="139" spans="1:43">
      <c r="A139" s="5"/>
      <c r="B139" s="23"/>
      <c r="C139" s="24"/>
      <c r="D139" s="24"/>
      <c r="E139" s="25"/>
      <c r="F139" s="25"/>
      <c r="G139" s="25"/>
      <c r="H139" s="25"/>
      <c r="I139" s="36"/>
      <c r="J139" s="23"/>
      <c r="K139" s="24"/>
      <c r="L139" s="24"/>
      <c r="M139" s="24"/>
      <c r="N139" s="30"/>
      <c r="O139" s="24"/>
      <c r="P139" s="24"/>
      <c r="Q139" s="23"/>
      <c r="R139" s="24"/>
      <c r="S139" s="24"/>
      <c r="T139" s="24"/>
      <c r="U139" s="17"/>
      <c r="V139" s="36"/>
      <c r="W139" s="36"/>
      <c r="X139" s="24"/>
      <c r="Y139" s="24"/>
      <c r="Z139" s="23"/>
      <c r="AA139" s="23"/>
      <c r="AB139" s="23"/>
      <c r="AC139" s="5"/>
      <c r="AD139" s="5"/>
      <c r="AE139" s="33"/>
      <c r="AF139" s="24"/>
      <c r="AG139" s="24"/>
      <c r="AH139" s="24"/>
      <c r="AI139" s="24"/>
      <c r="AJ139" s="36"/>
      <c r="AK139" s="36"/>
      <c r="AL139" s="36"/>
      <c r="AM139" s="24"/>
      <c r="AN139" s="24"/>
      <c r="AO139" s="24"/>
      <c r="AP139" s="23"/>
      <c r="AQ139" s="23"/>
    </row>
    <row r="140" spans="1:43">
      <c r="A140" s="5"/>
      <c r="B140" s="23"/>
      <c r="C140" s="24"/>
      <c r="D140" s="24"/>
      <c r="E140" s="25"/>
      <c r="F140" s="25"/>
      <c r="G140" s="25"/>
      <c r="H140" s="25"/>
      <c r="I140" s="36"/>
      <c r="J140" s="23"/>
      <c r="K140" s="24"/>
      <c r="L140" s="24"/>
      <c r="M140" s="24"/>
      <c r="N140" s="30"/>
      <c r="O140" s="24"/>
      <c r="P140" s="24"/>
      <c r="Q140" s="23"/>
      <c r="R140" s="24"/>
      <c r="S140" s="24"/>
      <c r="T140" s="24"/>
      <c r="U140" s="17"/>
      <c r="V140" s="36"/>
      <c r="W140" s="36"/>
      <c r="X140" s="24"/>
      <c r="Y140" s="24"/>
      <c r="Z140" s="23"/>
      <c r="AA140" s="23"/>
      <c r="AB140" s="23"/>
      <c r="AC140" s="5"/>
      <c r="AD140" s="5"/>
      <c r="AE140" s="33"/>
      <c r="AF140" s="24"/>
      <c r="AG140" s="24"/>
      <c r="AH140" s="24"/>
      <c r="AI140" s="24"/>
      <c r="AJ140" s="36"/>
      <c r="AK140" s="36"/>
      <c r="AL140" s="36"/>
      <c r="AM140" s="24"/>
      <c r="AN140" s="24"/>
      <c r="AO140" s="24"/>
      <c r="AP140" s="23"/>
      <c r="AQ140" s="23"/>
    </row>
    <row r="141" spans="1:43">
      <c r="A141" s="5"/>
      <c r="B141" s="23"/>
      <c r="C141" s="24"/>
      <c r="D141" s="24"/>
      <c r="E141" s="25"/>
      <c r="F141" s="25"/>
      <c r="G141" s="25"/>
      <c r="H141" s="25"/>
      <c r="I141" s="36"/>
      <c r="J141" s="23"/>
      <c r="K141" s="24"/>
      <c r="L141" s="24"/>
      <c r="M141" s="24"/>
      <c r="N141" s="30"/>
      <c r="O141" s="24"/>
      <c r="P141" s="24"/>
      <c r="Q141" s="23"/>
      <c r="R141" s="24"/>
      <c r="S141" s="24"/>
      <c r="T141" s="24"/>
      <c r="U141" s="17"/>
      <c r="V141" s="36"/>
      <c r="W141" s="36"/>
      <c r="X141" s="24"/>
      <c r="Y141" s="24"/>
      <c r="Z141" s="23"/>
      <c r="AA141" s="23"/>
      <c r="AB141" s="23"/>
      <c r="AC141" s="5"/>
      <c r="AD141" s="5"/>
      <c r="AE141" s="33"/>
      <c r="AF141" s="24"/>
      <c r="AG141" s="24"/>
      <c r="AH141" s="24"/>
      <c r="AI141" s="24"/>
      <c r="AJ141" s="36"/>
      <c r="AK141" s="36"/>
      <c r="AL141" s="36"/>
      <c r="AM141" s="24"/>
      <c r="AN141" s="24"/>
      <c r="AO141" s="24"/>
      <c r="AP141" s="23"/>
      <c r="AQ141" s="23"/>
    </row>
    <row r="142" spans="1:43">
      <c r="A142" s="5"/>
      <c r="B142" s="23"/>
      <c r="C142" s="24"/>
      <c r="D142" s="24"/>
      <c r="E142" s="25"/>
      <c r="F142" s="25"/>
      <c r="G142" s="25"/>
      <c r="H142" s="25"/>
      <c r="I142" s="36"/>
      <c r="J142" s="23"/>
      <c r="K142" s="24"/>
      <c r="L142" s="24"/>
      <c r="M142" s="24"/>
      <c r="N142" s="30"/>
      <c r="O142" s="24"/>
      <c r="P142" s="24"/>
      <c r="Q142" s="23"/>
      <c r="R142" s="24"/>
      <c r="S142" s="24"/>
      <c r="T142" s="24"/>
      <c r="U142" s="17"/>
      <c r="V142" s="36"/>
      <c r="W142" s="36"/>
      <c r="X142" s="24"/>
      <c r="Y142" s="24"/>
      <c r="Z142" s="23"/>
      <c r="AA142" s="23"/>
      <c r="AB142" s="23"/>
      <c r="AC142" s="5"/>
      <c r="AD142" s="5"/>
      <c r="AE142" s="33"/>
      <c r="AF142" s="24"/>
      <c r="AG142" s="24"/>
      <c r="AH142" s="24"/>
      <c r="AI142" s="24"/>
      <c r="AJ142" s="36"/>
      <c r="AK142" s="36"/>
      <c r="AL142" s="36"/>
      <c r="AM142" s="24"/>
      <c r="AN142" s="24"/>
      <c r="AO142" s="24"/>
      <c r="AP142" s="23"/>
      <c r="AQ142" s="23"/>
    </row>
    <row r="143" spans="1:43">
      <c r="A143" s="5"/>
      <c r="B143" s="23"/>
      <c r="C143" s="24"/>
      <c r="D143" s="24"/>
      <c r="E143" s="25"/>
      <c r="F143" s="25"/>
      <c r="G143" s="25"/>
      <c r="H143" s="25"/>
      <c r="I143" s="36"/>
      <c r="J143" s="23"/>
      <c r="K143" s="24"/>
      <c r="L143" s="24"/>
      <c r="M143" s="24"/>
      <c r="N143" s="30"/>
      <c r="O143" s="24"/>
      <c r="P143" s="24"/>
      <c r="Q143" s="23"/>
      <c r="R143" s="24"/>
      <c r="S143" s="24"/>
      <c r="T143" s="24"/>
      <c r="U143" s="17"/>
      <c r="V143" s="36"/>
      <c r="W143" s="36"/>
      <c r="X143" s="24"/>
      <c r="Y143" s="24"/>
      <c r="Z143" s="23"/>
      <c r="AA143" s="23"/>
      <c r="AB143" s="23"/>
      <c r="AC143" s="5"/>
      <c r="AD143" s="5"/>
      <c r="AE143" s="33"/>
      <c r="AF143" s="24"/>
      <c r="AG143" s="24"/>
      <c r="AH143" s="24"/>
      <c r="AI143" s="24"/>
      <c r="AJ143" s="36"/>
      <c r="AK143" s="36"/>
      <c r="AL143" s="36"/>
      <c r="AM143" s="24"/>
      <c r="AN143" s="24"/>
      <c r="AO143" s="24"/>
      <c r="AP143" s="23"/>
      <c r="AQ143" s="23"/>
    </row>
    <row r="144" spans="1:43">
      <c r="A144" s="5"/>
      <c r="B144" s="23"/>
      <c r="C144" s="24"/>
      <c r="D144" s="24"/>
      <c r="E144" s="25"/>
      <c r="F144" s="25"/>
      <c r="G144" s="25"/>
      <c r="H144" s="25"/>
      <c r="I144" s="36"/>
      <c r="J144" s="23"/>
      <c r="K144" s="24"/>
      <c r="L144" s="24"/>
      <c r="M144" s="24"/>
      <c r="N144" s="30"/>
      <c r="O144" s="24"/>
      <c r="P144" s="24"/>
      <c r="Q144" s="23"/>
      <c r="R144" s="24"/>
      <c r="S144" s="24"/>
      <c r="T144" s="24"/>
      <c r="U144" s="17"/>
      <c r="V144" s="36"/>
      <c r="W144" s="36"/>
      <c r="X144" s="24"/>
      <c r="Y144" s="24"/>
      <c r="Z144" s="23"/>
      <c r="AA144" s="23"/>
      <c r="AB144" s="23"/>
      <c r="AC144" s="5"/>
      <c r="AD144" s="5"/>
      <c r="AE144" s="33"/>
      <c r="AF144" s="24"/>
      <c r="AG144" s="24"/>
      <c r="AH144" s="24"/>
      <c r="AI144" s="24"/>
      <c r="AJ144" s="36"/>
      <c r="AK144" s="36"/>
      <c r="AL144" s="36"/>
      <c r="AM144" s="24"/>
      <c r="AN144" s="24"/>
      <c r="AO144" s="24"/>
      <c r="AP144" s="23"/>
      <c r="AQ144" s="23"/>
    </row>
    <row r="145" spans="1:43">
      <c r="A145" s="5"/>
      <c r="B145" s="23"/>
      <c r="C145" s="24"/>
      <c r="D145" s="24"/>
      <c r="E145" s="25"/>
      <c r="F145" s="25"/>
      <c r="G145" s="25"/>
      <c r="H145" s="25"/>
      <c r="I145" s="36"/>
      <c r="J145" s="23"/>
      <c r="K145" s="24"/>
      <c r="L145" s="24"/>
      <c r="M145" s="24"/>
      <c r="N145" s="30"/>
      <c r="O145" s="24"/>
      <c r="P145" s="24"/>
      <c r="Q145" s="23"/>
      <c r="R145" s="24"/>
      <c r="S145" s="24"/>
      <c r="T145" s="24"/>
      <c r="U145" s="17"/>
      <c r="V145" s="36"/>
      <c r="W145" s="36"/>
      <c r="X145" s="24"/>
      <c r="Y145" s="24"/>
      <c r="Z145" s="23"/>
      <c r="AA145" s="23"/>
      <c r="AB145" s="23"/>
      <c r="AC145" s="5"/>
      <c r="AD145" s="5"/>
      <c r="AE145" s="33"/>
      <c r="AF145" s="24"/>
      <c r="AG145" s="24"/>
      <c r="AH145" s="24"/>
      <c r="AI145" s="24"/>
      <c r="AJ145" s="36"/>
      <c r="AK145" s="36"/>
      <c r="AL145" s="36"/>
      <c r="AM145" s="24"/>
      <c r="AN145" s="24"/>
      <c r="AO145" s="24"/>
      <c r="AP145" s="23"/>
      <c r="AQ145" s="23"/>
    </row>
    <row r="146" spans="1:43">
      <c r="A146" s="5"/>
      <c r="B146" s="23"/>
      <c r="C146" s="24"/>
      <c r="D146" s="24"/>
      <c r="E146" s="25"/>
      <c r="F146" s="25"/>
      <c r="G146" s="25"/>
      <c r="H146" s="25"/>
      <c r="I146" s="36"/>
      <c r="J146" s="23"/>
      <c r="K146" s="24"/>
      <c r="L146" s="24"/>
      <c r="M146" s="24"/>
      <c r="N146" s="30"/>
      <c r="O146" s="24"/>
      <c r="P146" s="24"/>
      <c r="Q146" s="23"/>
      <c r="R146" s="24"/>
      <c r="S146" s="24"/>
      <c r="T146" s="24"/>
      <c r="U146" s="17"/>
      <c r="V146" s="36"/>
      <c r="W146" s="36"/>
      <c r="X146" s="24"/>
      <c r="Y146" s="24"/>
      <c r="Z146" s="23"/>
      <c r="AA146" s="23"/>
      <c r="AB146" s="23"/>
      <c r="AC146" s="5"/>
      <c r="AD146" s="5"/>
      <c r="AE146" s="33"/>
      <c r="AF146" s="24"/>
      <c r="AG146" s="24"/>
      <c r="AH146" s="24"/>
      <c r="AI146" s="24"/>
      <c r="AJ146" s="36"/>
      <c r="AK146" s="36"/>
      <c r="AL146" s="36"/>
      <c r="AM146" s="24"/>
      <c r="AN146" s="24"/>
      <c r="AO146" s="24"/>
      <c r="AP146" s="23"/>
      <c r="AQ146" s="23"/>
    </row>
    <row r="147" spans="1:43">
      <c r="A147" s="5"/>
      <c r="B147" s="23"/>
      <c r="C147" s="24"/>
      <c r="D147" s="24"/>
      <c r="E147" s="25"/>
      <c r="F147" s="25"/>
      <c r="G147" s="25"/>
      <c r="H147" s="25"/>
      <c r="I147" s="36"/>
      <c r="J147" s="23"/>
      <c r="K147" s="24"/>
      <c r="L147" s="24"/>
      <c r="M147" s="24"/>
      <c r="N147" s="30"/>
      <c r="O147" s="24"/>
      <c r="P147" s="24"/>
      <c r="Q147" s="23"/>
      <c r="R147" s="24"/>
      <c r="S147" s="24"/>
      <c r="T147" s="24"/>
      <c r="U147" s="17"/>
      <c r="V147" s="36"/>
      <c r="W147" s="36"/>
      <c r="X147" s="24"/>
      <c r="Y147" s="24"/>
      <c r="Z147" s="23"/>
      <c r="AA147" s="23"/>
      <c r="AB147" s="23"/>
      <c r="AC147" s="5"/>
      <c r="AD147" s="5"/>
      <c r="AE147" s="33"/>
      <c r="AF147" s="24"/>
      <c r="AG147" s="24"/>
      <c r="AH147" s="24"/>
      <c r="AI147" s="24"/>
      <c r="AJ147" s="36"/>
      <c r="AK147" s="36"/>
      <c r="AL147" s="36"/>
      <c r="AM147" s="24"/>
      <c r="AN147" s="24"/>
      <c r="AO147" s="24"/>
      <c r="AP147" s="23"/>
      <c r="AQ147" s="23"/>
    </row>
    <row r="148" spans="1:43">
      <c r="A148" s="5"/>
      <c r="B148" s="23"/>
      <c r="C148" s="24"/>
      <c r="D148" s="24"/>
      <c r="E148" s="25"/>
      <c r="F148" s="25"/>
      <c r="G148" s="25"/>
      <c r="H148" s="25"/>
      <c r="I148" s="36"/>
      <c r="J148" s="23"/>
      <c r="K148" s="24"/>
      <c r="L148" s="24"/>
      <c r="M148" s="24"/>
      <c r="N148" s="30"/>
      <c r="O148" s="24"/>
      <c r="P148" s="24"/>
      <c r="Q148" s="23"/>
      <c r="R148" s="24"/>
      <c r="S148" s="24"/>
      <c r="T148" s="24"/>
      <c r="U148" s="17"/>
      <c r="V148" s="36"/>
      <c r="W148" s="36"/>
      <c r="X148" s="24"/>
      <c r="Y148" s="24"/>
      <c r="Z148" s="23"/>
      <c r="AA148" s="23"/>
      <c r="AB148" s="23"/>
      <c r="AC148" s="5"/>
      <c r="AD148" s="5"/>
      <c r="AE148" s="33"/>
      <c r="AF148" s="24"/>
      <c r="AG148" s="24"/>
      <c r="AH148" s="24"/>
      <c r="AI148" s="24"/>
      <c r="AJ148" s="36"/>
      <c r="AK148" s="36"/>
      <c r="AL148" s="36"/>
      <c r="AM148" s="24"/>
      <c r="AN148" s="24"/>
      <c r="AO148" s="24"/>
      <c r="AP148" s="23"/>
      <c r="AQ148" s="23"/>
    </row>
    <row r="149" spans="1:43">
      <c r="A149" s="5"/>
      <c r="B149" s="23"/>
      <c r="C149" s="24"/>
      <c r="D149" s="24"/>
      <c r="E149" s="25"/>
      <c r="F149" s="25"/>
      <c r="G149" s="25"/>
      <c r="H149" s="25"/>
      <c r="I149" s="36"/>
      <c r="J149" s="23"/>
      <c r="K149" s="24"/>
      <c r="L149" s="24"/>
      <c r="M149" s="24"/>
      <c r="N149" s="30"/>
      <c r="O149" s="24"/>
      <c r="P149" s="24"/>
      <c r="Q149" s="23"/>
      <c r="R149" s="24"/>
      <c r="S149" s="24"/>
      <c r="T149" s="24"/>
      <c r="U149" s="17"/>
      <c r="V149" s="36"/>
      <c r="W149" s="36"/>
      <c r="X149" s="24"/>
      <c r="Y149" s="24"/>
      <c r="Z149" s="23"/>
      <c r="AA149" s="23"/>
      <c r="AB149" s="23"/>
      <c r="AC149" s="5"/>
      <c r="AD149" s="5"/>
      <c r="AE149" s="33"/>
      <c r="AF149" s="24"/>
      <c r="AG149" s="24"/>
      <c r="AH149" s="24"/>
      <c r="AI149" s="24"/>
      <c r="AJ149" s="36"/>
      <c r="AK149" s="36"/>
      <c r="AL149" s="36"/>
      <c r="AM149" s="24"/>
      <c r="AN149" s="24"/>
      <c r="AO149" s="24"/>
      <c r="AP149" s="23"/>
      <c r="AQ149" s="23"/>
    </row>
    <row r="150" spans="1:43">
      <c r="A150" s="5"/>
      <c r="B150" s="23"/>
      <c r="C150" s="24"/>
      <c r="D150" s="24"/>
      <c r="E150" s="25"/>
      <c r="F150" s="25"/>
      <c r="G150" s="25"/>
      <c r="H150" s="25"/>
      <c r="I150" s="36"/>
      <c r="J150" s="23"/>
      <c r="K150" s="24"/>
      <c r="L150" s="24"/>
      <c r="M150" s="24"/>
      <c r="N150" s="30"/>
      <c r="O150" s="24"/>
      <c r="P150" s="24"/>
      <c r="Q150" s="23"/>
      <c r="R150" s="24"/>
      <c r="S150" s="24"/>
      <c r="T150" s="24"/>
      <c r="U150" s="17"/>
      <c r="V150" s="36"/>
      <c r="W150" s="36"/>
      <c r="X150" s="24"/>
      <c r="Y150" s="24"/>
      <c r="Z150" s="23"/>
      <c r="AA150" s="23"/>
      <c r="AB150" s="23"/>
      <c r="AC150" s="5"/>
      <c r="AD150" s="5"/>
      <c r="AE150" s="33"/>
      <c r="AF150" s="24"/>
      <c r="AG150" s="24"/>
      <c r="AH150" s="24"/>
      <c r="AI150" s="24"/>
      <c r="AJ150" s="36"/>
      <c r="AK150" s="36"/>
      <c r="AL150" s="36"/>
      <c r="AM150" s="24"/>
      <c r="AN150" s="24"/>
      <c r="AO150" s="24"/>
      <c r="AP150" s="23"/>
      <c r="AQ150" s="23"/>
    </row>
    <row r="151" spans="1:43">
      <c r="A151" s="5"/>
      <c r="B151" s="23"/>
      <c r="C151" s="24"/>
      <c r="D151" s="24"/>
      <c r="E151" s="25"/>
      <c r="F151" s="25"/>
      <c r="G151" s="25"/>
      <c r="H151" s="25"/>
      <c r="I151" s="36"/>
      <c r="J151" s="23"/>
      <c r="K151" s="24"/>
      <c r="L151" s="24"/>
      <c r="M151" s="24"/>
      <c r="N151" s="30"/>
      <c r="O151" s="24"/>
      <c r="P151" s="24"/>
      <c r="Q151" s="23"/>
      <c r="R151" s="24"/>
      <c r="S151" s="24"/>
      <c r="T151" s="24"/>
      <c r="U151" s="17"/>
      <c r="V151" s="36"/>
      <c r="W151" s="36"/>
      <c r="X151" s="24"/>
      <c r="Y151" s="24"/>
      <c r="Z151" s="23"/>
      <c r="AA151" s="23"/>
      <c r="AB151" s="23"/>
      <c r="AC151" s="5"/>
      <c r="AD151" s="5"/>
      <c r="AE151" s="33"/>
      <c r="AF151" s="24"/>
      <c r="AG151" s="24"/>
      <c r="AH151" s="24"/>
      <c r="AI151" s="24"/>
      <c r="AJ151" s="36"/>
      <c r="AK151" s="36"/>
      <c r="AL151" s="36"/>
      <c r="AM151" s="24"/>
      <c r="AN151" s="24"/>
      <c r="AO151" s="24"/>
      <c r="AP151" s="23"/>
      <c r="AQ151" s="23"/>
    </row>
    <row r="152" spans="1:43">
      <c r="A152" s="5"/>
      <c r="B152" s="23"/>
      <c r="C152" s="24"/>
      <c r="D152" s="24"/>
      <c r="E152" s="25"/>
      <c r="F152" s="25"/>
      <c r="G152" s="25"/>
      <c r="H152" s="25"/>
      <c r="I152" s="36"/>
      <c r="J152" s="23"/>
      <c r="K152" s="24"/>
      <c r="L152" s="24"/>
      <c r="M152" s="24"/>
      <c r="N152" s="30"/>
      <c r="O152" s="24"/>
      <c r="P152" s="24"/>
      <c r="Q152" s="23"/>
      <c r="R152" s="24"/>
      <c r="S152" s="24"/>
      <c r="T152" s="24"/>
      <c r="U152" s="17"/>
      <c r="V152" s="36"/>
      <c r="W152" s="36"/>
      <c r="X152" s="24"/>
      <c r="Y152" s="24"/>
      <c r="Z152" s="23"/>
      <c r="AA152" s="23"/>
      <c r="AB152" s="23"/>
      <c r="AC152" s="5"/>
      <c r="AD152" s="5"/>
      <c r="AE152" s="33"/>
      <c r="AF152" s="24"/>
      <c r="AG152" s="24"/>
      <c r="AH152" s="24"/>
      <c r="AI152" s="24"/>
      <c r="AJ152" s="36"/>
      <c r="AK152" s="36"/>
      <c r="AL152" s="36"/>
      <c r="AM152" s="24"/>
      <c r="AN152" s="24"/>
      <c r="AO152" s="24"/>
      <c r="AP152" s="23"/>
      <c r="AQ152" s="23"/>
    </row>
    <row r="153" spans="1:43">
      <c r="A153" s="5"/>
      <c r="B153" s="23"/>
      <c r="C153" s="24"/>
      <c r="D153" s="24"/>
      <c r="E153" s="25"/>
      <c r="F153" s="25"/>
      <c r="G153" s="25"/>
      <c r="H153" s="25"/>
      <c r="I153" s="36"/>
      <c r="J153" s="23"/>
      <c r="K153" s="24"/>
      <c r="L153" s="24"/>
      <c r="M153" s="24"/>
      <c r="N153" s="30"/>
      <c r="O153" s="24"/>
      <c r="P153" s="24"/>
      <c r="Q153" s="23"/>
      <c r="R153" s="24"/>
      <c r="S153" s="24"/>
      <c r="T153" s="24"/>
      <c r="U153" s="17"/>
      <c r="V153" s="36"/>
      <c r="W153" s="36"/>
      <c r="X153" s="24"/>
      <c r="Y153" s="24"/>
      <c r="Z153" s="23"/>
      <c r="AA153" s="23"/>
      <c r="AB153" s="23"/>
      <c r="AC153" s="5"/>
      <c r="AD153" s="5"/>
      <c r="AE153" s="33"/>
      <c r="AF153" s="24"/>
      <c r="AG153" s="24"/>
      <c r="AH153" s="24"/>
      <c r="AI153" s="24"/>
      <c r="AJ153" s="36"/>
      <c r="AK153" s="36"/>
      <c r="AL153" s="36"/>
      <c r="AM153" s="24"/>
      <c r="AN153" s="24"/>
      <c r="AO153" s="24"/>
      <c r="AP153" s="23"/>
      <c r="AQ153" s="23"/>
    </row>
    <row r="154" spans="1:43">
      <c r="A154" s="5"/>
      <c r="B154" s="23"/>
      <c r="C154" s="24"/>
      <c r="D154" s="24"/>
      <c r="E154" s="25"/>
      <c r="F154" s="25"/>
      <c r="G154" s="25"/>
      <c r="H154" s="25"/>
      <c r="I154" s="36"/>
      <c r="J154" s="23"/>
      <c r="K154" s="24"/>
      <c r="L154" s="24"/>
      <c r="M154" s="24"/>
      <c r="N154" s="30"/>
      <c r="O154" s="24"/>
      <c r="P154" s="24"/>
      <c r="Q154" s="23"/>
      <c r="R154" s="24"/>
      <c r="S154" s="24"/>
      <c r="T154" s="24"/>
      <c r="U154" s="17"/>
      <c r="V154" s="36"/>
      <c r="W154" s="36"/>
      <c r="X154" s="24"/>
      <c r="Y154" s="24"/>
      <c r="Z154" s="23"/>
      <c r="AA154" s="23"/>
      <c r="AB154" s="23"/>
      <c r="AC154" s="5"/>
      <c r="AD154" s="5"/>
      <c r="AE154" s="33"/>
      <c r="AF154" s="24"/>
      <c r="AG154" s="24"/>
      <c r="AH154" s="24"/>
      <c r="AI154" s="24"/>
      <c r="AJ154" s="36"/>
      <c r="AK154" s="36"/>
      <c r="AL154" s="36"/>
      <c r="AM154" s="24"/>
      <c r="AN154" s="24"/>
      <c r="AO154" s="24"/>
      <c r="AP154" s="23"/>
      <c r="AQ154" s="23"/>
    </row>
    <row r="155" spans="1:43">
      <c r="A155" s="5"/>
      <c r="B155" s="23"/>
      <c r="C155" s="24"/>
      <c r="D155" s="24"/>
      <c r="E155" s="25"/>
      <c r="F155" s="25"/>
      <c r="G155" s="25"/>
      <c r="H155" s="25"/>
      <c r="I155" s="36"/>
      <c r="J155" s="23"/>
      <c r="K155" s="24"/>
      <c r="L155" s="24"/>
      <c r="M155" s="24"/>
      <c r="N155" s="30"/>
      <c r="O155" s="24"/>
      <c r="P155" s="24"/>
      <c r="Q155" s="23"/>
      <c r="R155" s="24"/>
      <c r="S155" s="24"/>
      <c r="T155" s="24"/>
      <c r="U155" s="17"/>
      <c r="V155" s="36"/>
      <c r="W155" s="36"/>
      <c r="X155" s="24"/>
      <c r="Y155" s="24"/>
      <c r="Z155" s="23"/>
      <c r="AA155" s="23"/>
      <c r="AB155" s="23"/>
      <c r="AC155" s="5"/>
      <c r="AD155" s="5"/>
      <c r="AE155" s="33"/>
      <c r="AF155" s="24"/>
      <c r="AG155" s="24"/>
      <c r="AH155" s="24"/>
      <c r="AI155" s="24"/>
      <c r="AJ155" s="36"/>
      <c r="AK155" s="36"/>
      <c r="AL155" s="36"/>
      <c r="AM155" s="24"/>
      <c r="AN155" s="24"/>
      <c r="AO155" s="24"/>
      <c r="AP155" s="23"/>
      <c r="AQ155" s="23"/>
    </row>
    <row r="156" spans="1:43">
      <c r="A156" s="5"/>
      <c r="B156" s="23"/>
      <c r="C156" s="24"/>
      <c r="D156" s="24"/>
      <c r="E156" s="25"/>
      <c r="F156" s="25"/>
      <c r="G156" s="25"/>
      <c r="H156" s="25"/>
      <c r="I156" s="36"/>
      <c r="J156" s="23"/>
      <c r="K156" s="24"/>
      <c r="L156" s="24"/>
      <c r="M156" s="24"/>
      <c r="N156" s="30"/>
      <c r="O156" s="24"/>
      <c r="P156" s="24"/>
      <c r="Q156" s="23"/>
      <c r="R156" s="24"/>
      <c r="S156" s="24"/>
      <c r="T156" s="24"/>
      <c r="U156" s="17"/>
      <c r="V156" s="36"/>
      <c r="W156" s="36"/>
      <c r="X156" s="24"/>
      <c r="Y156" s="24"/>
      <c r="Z156" s="23"/>
      <c r="AA156" s="23"/>
      <c r="AB156" s="23"/>
      <c r="AC156" s="5"/>
      <c r="AD156" s="5"/>
      <c r="AE156" s="33"/>
      <c r="AF156" s="24"/>
      <c r="AG156" s="24"/>
      <c r="AH156" s="24"/>
      <c r="AI156" s="24"/>
      <c r="AJ156" s="36"/>
      <c r="AK156" s="36"/>
      <c r="AL156" s="36"/>
      <c r="AM156" s="24"/>
      <c r="AN156" s="24"/>
      <c r="AO156" s="24"/>
      <c r="AP156" s="23"/>
      <c r="AQ156" s="23"/>
    </row>
    <row r="157" spans="1:43">
      <c r="A157" s="5"/>
      <c r="B157" s="23"/>
      <c r="C157" s="24"/>
      <c r="D157" s="24"/>
      <c r="E157" s="25"/>
      <c r="F157" s="25"/>
      <c r="G157" s="25"/>
      <c r="H157" s="25"/>
      <c r="I157" s="36"/>
      <c r="J157" s="23"/>
      <c r="K157" s="24"/>
      <c r="L157" s="24"/>
      <c r="M157" s="24"/>
      <c r="N157" s="30"/>
      <c r="O157" s="24"/>
      <c r="P157" s="24"/>
      <c r="Q157" s="23"/>
      <c r="R157" s="24"/>
      <c r="S157" s="24"/>
      <c r="T157" s="24"/>
      <c r="U157" s="17"/>
      <c r="V157" s="36"/>
      <c r="W157" s="36"/>
      <c r="X157" s="24"/>
      <c r="Y157" s="24"/>
      <c r="Z157" s="23"/>
      <c r="AA157" s="23"/>
      <c r="AB157" s="23"/>
      <c r="AC157" s="5"/>
      <c r="AD157" s="5"/>
      <c r="AE157" s="33"/>
      <c r="AF157" s="24"/>
      <c r="AG157" s="24"/>
      <c r="AH157" s="24"/>
      <c r="AI157" s="24"/>
      <c r="AJ157" s="36"/>
      <c r="AK157" s="36"/>
      <c r="AL157" s="36"/>
      <c r="AM157" s="24"/>
      <c r="AN157" s="24"/>
      <c r="AO157" s="24"/>
      <c r="AP157" s="23"/>
      <c r="AQ157" s="23"/>
    </row>
    <row r="158" spans="1:43">
      <c r="A158" s="5"/>
      <c r="B158" s="23"/>
      <c r="C158" s="24"/>
      <c r="D158" s="24"/>
      <c r="E158" s="25"/>
      <c r="F158" s="25"/>
      <c r="G158" s="25"/>
      <c r="H158" s="25"/>
      <c r="I158" s="36"/>
      <c r="J158" s="23"/>
      <c r="K158" s="24"/>
      <c r="L158" s="24"/>
      <c r="M158" s="24"/>
      <c r="N158" s="30"/>
      <c r="O158" s="24"/>
      <c r="P158" s="24"/>
      <c r="Q158" s="23"/>
      <c r="R158" s="24"/>
      <c r="S158" s="24"/>
      <c r="T158" s="24"/>
      <c r="U158" s="17"/>
      <c r="V158" s="36"/>
      <c r="W158" s="36"/>
      <c r="X158" s="24"/>
      <c r="Y158" s="24"/>
      <c r="Z158" s="23"/>
      <c r="AA158" s="23"/>
      <c r="AB158" s="23"/>
      <c r="AC158" s="5"/>
      <c r="AD158" s="5"/>
      <c r="AE158" s="33"/>
      <c r="AF158" s="24"/>
      <c r="AG158" s="24"/>
      <c r="AH158" s="24"/>
      <c r="AI158" s="24"/>
      <c r="AJ158" s="36"/>
      <c r="AK158" s="36"/>
      <c r="AL158" s="36"/>
      <c r="AM158" s="24"/>
      <c r="AN158" s="24"/>
      <c r="AO158" s="24"/>
      <c r="AP158" s="23"/>
      <c r="AQ158" s="23"/>
    </row>
    <row r="159" spans="1:43">
      <c r="A159" s="5"/>
      <c r="B159" s="23"/>
      <c r="C159" s="24"/>
      <c r="D159" s="24"/>
      <c r="E159" s="25"/>
      <c r="F159" s="25"/>
      <c r="G159" s="25"/>
      <c r="H159" s="25"/>
      <c r="I159" s="36"/>
      <c r="J159" s="23"/>
      <c r="K159" s="24"/>
      <c r="L159" s="24"/>
      <c r="M159" s="24"/>
      <c r="N159" s="30"/>
      <c r="O159" s="24"/>
      <c r="P159" s="24"/>
      <c r="Q159" s="23"/>
      <c r="R159" s="24"/>
      <c r="S159" s="24"/>
      <c r="T159" s="24"/>
      <c r="U159" s="17"/>
      <c r="V159" s="36"/>
      <c r="W159" s="36"/>
      <c r="X159" s="24"/>
      <c r="Y159" s="24"/>
      <c r="Z159" s="23"/>
      <c r="AA159" s="23"/>
      <c r="AB159" s="23"/>
      <c r="AC159" s="5"/>
      <c r="AD159" s="5"/>
      <c r="AE159" s="33"/>
      <c r="AF159" s="24"/>
      <c r="AG159" s="24"/>
      <c r="AH159" s="24"/>
      <c r="AI159" s="24"/>
      <c r="AJ159" s="36"/>
      <c r="AK159" s="36"/>
      <c r="AL159" s="36"/>
      <c r="AM159" s="24"/>
      <c r="AN159" s="24"/>
      <c r="AO159" s="24"/>
      <c r="AP159" s="23"/>
      <c r="AQ159" s="23"/>
    </row>
    <row r="160" spans="1:43">
      <c r="A160" s="5"/>
      <c r="B160" s="23"/>
      <c r="C160" s="24"/>
      <c r="D160" s="24"/>
      <c r="E160" s="25"/>
      <c r="F160" s="25"/>
      <c r="G160" s="25"/>
      <c r="H160" s="25"/>
      <c r="I160" s="36"/>
      <c r="J160" s="23"/>
      <c r="K160" s="24"/>
      <c r="L160" s="24"/>
      <c r="M160" s="24"/>
      <c r="N160" s="30"/>
      <c r="O160" s="24"/>
      <c r="P160" s="24"/>
      <c r="Q160" s="23"/>
      <c r="R160" s="24"/>
      <c r="S160" s="24"/>
      <c r="T160" s="24"/>
      <c r="U160" s="17"/>
      <c r="V160" s="36"/>
      <c r="W160" s="36"/>
      <c r="X160" s="24"/>
      <c r="Y160" s="24"/>
      <c r="Z160" s="23"/>
      <c r="AA160" s="23"/>
      <c r="AB160" s="23"/>
      <c r="AC160" s="5"/>
      <c r="AD160" s="5"/>
      <c r="AE160" s="33"/>
      <c r="AF160" s="24"/>
      <c r="AG160" s="24"/>
      <c r="AH160" s="24"/>
      <c r="AI160" s="24"/>
      <c r="AJ160" s="36"/>
      <c r="AK160" s="36"/>
      <c r="AL160" s="36"/>
      <c r="AM160" s="24"/>
      <c r="AN160" s="24"/>
      <c r="AO160" s="24"/>
      <c r="AP160" s="23"/>
      <c r="AQ160" s="23"/>
    </row>
    <row r="161" spans="1:43">
      <c r="A161" s="5"/>
      <c r="B161" s="23"/>
      <c r="C161" s="24"/>
      <c r="D161" s="24"/>
      <c r="E161" s="25"/>
      <c r="F161" s="25"/>
      <c r="G161" s="25"/>
      <c r="H161" s="25"/>
      <c r="I161" s="36"/>
      <c r="J161" s="23"/>
      <c r="K161" s="24"/>
      <c r="L161" s="24"/>
      <c r="M161" s="24"/>
      <c r="N161" s="30"/>
      <c r="O161" s="24"/>
      <c r="P161" s="24"/>
      <c r="Q161" s="23"/>
      <c r="R161" s="24"/>
      <c r="S161" s="24"/>
      <c r="T161" s="24"/>
      <c r="U161" s="17"/>
      <c r="V161" s="36"/>
      <c r="W161" s="36"/>
      <c r="X161" s="24"/>
      <c r="Y161" s="24"/>
      <c r="Z161" s="23"/>
      <c r="AA161" s="23"/>
      <c r="AB161" s="23"/>
      <c r="AC161" s="5"/>
      <c r="AD161" s="5"/>
      <c r="AE161" s="33"/>
      <c r="AF161" s="24"/>
      <c r="AG161" s="24"/>
      <c r="AH161" s="24"/>
      <c r="AI161" s="24"/>
      <c r="AJ161" s="36"/>
      <c r="AK161" s="36"/>
      <c r="AL161" s="36"/>
      <c r="AM161" s="24"/>
      <c r="AN161" s="24"/>
      <c r="AO161" s="24"/>
      <c r="AP161" s="23"/>
      <c r="AQ161" s="23"/>
    </row>
    <row r="162" spans="1:43">
      <c r="A162" s="5"/>
      <c r="B162" s="23"/>
      <c r="C162" s="24"/>
      <c r="D162" s="24"/>
      <c r="E162" s="25"/>
      <c r="F162" s="25"/>
      <c r="G162" s="25"/>
      <c r="H162" s="25"/>
      <c r="I162" s="36"/>
      <c r="J162" s="23"/>
      <c r="K162" s="24"/>
      <c r="L162" s="24"/>
      <c r="M162" s="24"/>
      <c r="N162" s="30"/>
      <c r="O162" s="24"/>
      <c r="P162" s="24"/>
      <c r="Q162" s="23"/>
      <c r="R162" s="24"/>
      <c r="S162" s="24"/>
      <c r="T162" s="24"/>
      <c r="U162" s="17"/>
      <c r="V162" s="36"/>
      <c r="W162" s="36"/>
      <c r="X162" s="24"/>
      <c r="Y162" s="24"/>
      <c r="Z162" s="23"/>
      <c r="AA162" s="23"/>
      <c r="AB162" s="23"/>
      <c r="AC162" s="5"/>
      <c r="AD162" s="5"/>
      <c r="AE162" s="33"/>
      <c r="AF162" s="24"/>
      <c r="AG162" s="24"/>
      <c r="AH162" s="24"/>
      <c r="AI162" s="24"/>
      <c r="AJ162" s="36"/>
      <c r="AK162" s="36"/>
      <c r="AL162" s="36"/>
      <c r="AM162" s="24"/>
      <c r="AN162" s="24"/>
      <c r="AO162" s="24"/>
      <c r="AP162" s="23"/>
      <c r="AQ162" s="23"/>
    </row>
    <row r="163" spans="1:43">
      <c r="A163" s="5"/>
      <c r="B163" s="23"/>
      <c r="C163" s="24"/>
      <c r="D163" s="24"/>
      <c r="E163" s="25"/>
      <c r="F163" s="25"/>
      <c r="G163" s="25"/>
      <c r="H163" s="25"/>
      <c r="I163" s="36"/>
      <c r="J163" s="23"/>
      <c r="K163" s="24"/>
      <c r="L163" s="24"/>
      <c r="M163" s="24"/>
      <c r="N163" s="30"/>
      <c r="O163" s="24"/>
      <c r="P163" s="24"/>
      <c r="Q163" s="23"/>
      <c r="R163" s="24"/>
      <c r="S163" s="24"/>
      <c r="T163" s="24"/>
      <c r="U163" s="17"/>
      <c r="V163" s="36"/>
      <c r="W163" s="36"/>
      <c r="X163" s="24"/>
      <c r="Y163" s="24"/>
      <c r="Z163" s="23"/>
      <c r="AA163" s="23"/>
      <c r="AB163" s="23"/>
      <c r="AC163" s="5"/>
      <c r="AD163" s="5"/>
      <c r="AE163" s="33"/>
      <c r="AF163" s="24"/>
      <c r="AG163" s="24"/>
      <c r="AH163" s="24"/>
      <c r="AI163" s="24"/>
      <c r="AJ163" s="36"/>
      <c r="AK163" s="36"/>
      <c r="AL163" s="36"/>
      <c r="AM163" s="24"/>
      <c r="AN163" s="24"/>
      <c r="AO163" s="24"/>
      <c r="AP163" s="23"/>
      <c r="AQ163" s="23"/>
    </row>
    <row r="164" spans="1:43">
      <c r="A164" s="5"/>
      <c r="B164" s="23"/>
      <c r="C164" s="24"/>
      <c r="D164" s="24"/>
      <c r="E164" s="25"/>
      <c r="F164" s="25"/>
      <c r="G164" s="25"/>
      <c r="H164" s="25"/>
      <c r="I164" s="36"/>
      <c r="J164" s="23"/>
      <c r="K164" s="24"/>
      <c r="L164" s="24"/>
      <c r="M164" s="24"/>
      <c r="N164" s="30"/>
      <c r="O164" s="24"/>
      <c r="P164" s="24"/>
      <c r="Q164" s="23"/>
      <c r="R164" s="24"/>
      <c r="S164" s="24"/>
      <c r="T164" s="24"/>
      <c r="U164" s="17"/>
      <c r="V164" s="36"/>
      <c r="W164" s="36"/>
      <c r="X164" s="24"/>
      <c r="Y164" s="24"/>
      <c r="Z164" s="23"/>
      <c r="AA164" s="23"/>
      <c r="AB164" s="23"/>
      <c r="AC164" s="5"/>
      <c r="AD164" s="5"/>
      <c r="AE164" s="33"/>
      <c r="AF164" s="24"/>
      <c r="AG164" s="24"/>
      <c r="AH164" s="24"/>
      <c r="AI164" s="24"/>
      <c r="AJ164" s="36"/>
      <c r="AK164" s="36"/>
      <c r="AL164" s="36"/>
      <c r="AM164" s="24"/>
      <c r="AN164" s="24"/>
      <c r="AO164" s="24"/>
      <c r="AP164" s="23"/>
      <c r="AQ164" s="23"/>
    </row>
    <row r="165" spans="1:43">
      <c r="A165" s="5"/>
      <c r="B165" s="23"/>
      <c r="C165" s="24"/>
      <c r="D165" s="24"/>
      <c r="E165" s="25"/>
      <c r="F165" s="25"/>
      <c r="G165" s="25"/>
      <c r="H165" s="25"/>
      <c r="I165" s="36"/>
      <c r="J165" s="23"/>
      <c r="K165" s="24"/>
      <c r="L165" s="24"/>
      <c r="M165" s="24"/>
      <c r="N165" s="30"/>
      <c r="O165" s="24"/>
      <c r="P165" s="24"/>
      <c r="Q165" s="23"/>
      <c r="R165" s="24"/>
      <c r="S165" s="24"/>
      <c r="T165" s="24"/>
      <c r="U165" s="17"/>
      <c r="V165" s="36"/>
      <c r="W165" s="36"/>
      <c r="X165" s="24"/>
      <c r="Y165" s="24"/>
      <c r="Z165" s="23"/>
      <c r="AA165" s="23"/>
      <c r="AB165" s="23"/>
      <c r="AC165" s="5"/>
      <c r="AD165" s="5"/>
      <c r="AE165" s="33"/>
      <c r="AF165" s="24"/>
      <c r="AG165" s="24"/>
      <c r="AH165" s="24"/>
      <c r="AI165" s="24"/>
      <c r="AJ165" s="36"/>
      <c r="AK165" s="36"/>
      <c r="AL165" s="36"/>
      <c r="AM165" s="24"/>
      <c r="AN165" s="24"/>
      <c r="AO165" s="24"/>
      <c r="AP165" s="23"/>
      <c r="AQ165" s="23"/>
    </row>
    <row r="166" spans="1:43">
      <c r="A166" s="5"/>
      <c r="B166" s="23"/>
      <c r="C166" s="24"/>
      <c r="D166" s="24"/>
      <c r="E166" s="25"/>
      <c r="F166" s="25"/>
      <c r="G166" s="25"/>
      <c r="H166" s="25"/>
      <c r="I166" s="36"/>
      <c r="J166" s="23"/>
      <c r="K166" s="24"/>
      <c r="L166" s="24"/>
      <c r="M166" s="24"/>
      <c r="N166" s="30"/>
      <c r="O166" s="24"/>
      <c r="P166" s="24"/>
      <c r="Q166" s="23"/>
      <c r="R166" s="24"/>
      <c r="S166" s="24"/>
      <c r="T166" s="24"/>
      <c r="U166" s="17"/>
      <c r="V166" s="36"/>
      <c r="W166" s="36"/>
      <c r="X166" s="24"/>
      <c r="Y166" s="24"/>
      <c r="Z166" s="23"/>
      <c r="AA166" s="23"/>
      <c r="AB166" s="23"/>
      <c r="AC166" s="5"/>
      <c r="AD166" s="5"/>
      <c r="AE166" s="33"/>
      <c r="AF166" s="24"/>
      <c r="AG166" s="24"/>
      <c r="AH166" s="24"/>
      <c r="AI166" s="24"/>
      <c r="AJ166" s="36"/>
      <c r="AK166" s="36"/>
      <c r="AL166" s="36"/>
      <c r="AM166" s="24"/>
      <c r="AN166" s="24"/>
      <c r="AO166" s="24"/>
      <c r="AP166" s="23"/>
      <c r="AQ166" s="23"/>
    </row>
    <row r="167" spans="1:43">
      <c r="A167" s="5"/>
      <c r="B167" s="23"/>
      <c r="C167" s="24"/>
      <c r="D167" s="24"/>
      <c r="E167" s="25"/>
      <c r="F167" s="25"/>
      <c r="G167" s="25"/>
      <c r="H167" s="25"/>
      <c r="I167" s="36"/>
      <c r="J167" s="23"/>
      <c r="K167" s="24"/>
      <c r="L167" s="24"/>
      <c r="M167" s="24"/>
      <c r="N167" s="30"/>
      <c r="O167" s="24"/>
      <c r="P167" s="24"/>
      <c r="Q167" s="23"/>
      <c r="R167" s="24"/>
      <c r="S167" s="24"/>
      <c r="T167" s="24"/>
      <c r="U167" s="17"/>
      <c r="V167" s="36"/>
      <c r="W167" s="36"/>
      <c r="X167" s="24"/>
      <c r="Y167" s="24"/>
      <c r="Z167" s="23"/>
      <c r="AA167" s="23"/>
      <c r="AB167" s="23"/>
      <c r="AC167" s="5"/>
      <c r="AD167" s="5"/>
      <c r="AE167" s="33"/>
      <c r="AF167" s="24"/>
      <c r="AG167" s="24"/>
      <c r="AH167" s="24"/>
      <c r="AI167" s="24"/>
      <c r="AJ167" s="36"/>
      <c r="AK167" s="36"/>
      <c r="AL167" s="36"/>
      <c r="AM167" s="24"/>
      <c r="AN167" s="24"/>
      <c r="AO167" s="24"/>
      <c r="AP167" s="23"/>
      <c r="AQ167" s="23"/>
    </row>
    <row r="168" spans="1:43">
      <c r="A168" s="5"/>
      <c r="B168" s="23"/>
      <c r="C168" s="24"/>
      <c r="D168" s="24"/>
      <c r="E168" s="25"/>
      <c r="F168" s="25"/>
      <c r="G168" s="25"/>
      <c r="H168" s="25"/>
      <c r="I168" s="36"/>
      <c r="J168" s="23"/>
      <c r="K168" s="24"/>
      <c r="L168" s="24"/>
      <c r="M168" s="24"/>
      <c r="N168" s="30"/>
      <c r="O168" s="24"/>
      <c r="P168" s="24"/>
      <c r="Q168" s="23"/>
      <c r="R168" s="24"/>
      <c r="S168" s="24"/>
      <c r="T168" s="24"/>
      <c r="U168" s="17"/>
      <c r="V168" s="36"/>
      <c r="W168" s="36"/>
      <c r="X168" s="24"/>
      <c r="Y168" s="24"/>
      <c r="Z168" s="23"/>
      <c r="AA168" s="23"/>
      <c r="AB168" s="23"/>
      <c r="AC168" s="5"/>
      <c r="AD168" s="5"/>
      <c r="AE168" s="33"/>
      <c r="AF168" s="24"/>
      <c r="AG168" s="24"/>
      <c r="AH168" s="24"/>
      <c r="AI168" s="24"/>
      <c r="AJ168" s="36"/>
      <c r="AK168" s="36"/>
      <c r="AL168" s="36"/>
      <c r="AM168" s="24"/>
      <c r="AN168" s="24"/>
      <c r="AO168" s="24"/>
      <c r="AP168" s="23"/>
      <c r="AQ168" s="23"/>
    </row>
    <row r="169" spans="1:43">
      <c r="A169" s="5"/>
      <c r="B169" s="23"/>
      <c r="C169" s="24"/>
      <c r="D169" s="24"/>
      <c r="E169" s="25"/>
      <c r="F169" s="25"/>
      <c r="G169" s="25"/>
      <c r="H169" s="25"/>
      <c r="I169" s="36"/>
      <c r="J169" s="23"/>
      <c r="K169" s="24"/>
      <c r="L169" s="24"/>
      <c r="M169" s="24"/>
      <c r="N169" s="30"/>
      <c r="O169" s="24"/>
      <c r="P169" s="24"/>
      <c r="Q169" s="23"/>
      <c r="R169" s="24"/>
      <c r="S169" s="24"/>
      <c r="T169" s="24"/>
      <c r="U169" s="17"/>
      <c r="V169" s="36"/>
      <c r="W169" s="36"/>
      <c r="X169" s="24"/>
      <c r="Y169" s="24"/>
      <c r="Z169" s="23"/>
      <c r="AA169" s="23"/>
      <c r="AB169" s="23"/>
      <c r="AC169" s="5"/>
      <c r="AD169" s="5"/>
      <c r="AE169" s="33"/>
      <c r="AF169" s="24"/>
      <c r="AG169" s="24"/>
      <c r="AH169" s="24"/>
      <c r="AI169" s="24"/>
      <c r="AJ169" s="36"/>
      <c r="AK169" s="36"/>
      <c r="AL169" s="36"/>
      <c r="AM169" s="24"/>
      <c r="AN169" s="24"/>
      <c r="AO169" s="24"/>
      <c r="AP169" s="23"/>
      <c r="AQ169" s="23"/>
    </row>
    <row r="170" spans="1:43">
      <c r="A170" s="5"/>
      <c r="B170" s="23"/>
      <c r="C170" s="24"/>
      <c r="D170" s="24"/>
      <c r="E170" s="25"/>
      <c r="F170" s="25"/>
      <c r="G170" s="25"/>
      <c r="H170" s="25"/>
      <c r="I170" s="36"/>
      <c r="J170" s="23"/>
      <c r="K170" s="24"/>
      <c r="L170" s="24"/>
      <c r="M170" s="24"/>
      <c r="N170" s="30"/>
      <c r="O170" s="24"/>
      <c r="P170" s="24"/>
      <c r="Q170" s="23"/>
      <c r="R170" s="24"/>
      <c r="S170" s="24"/>
      <c r="T170" s="24"/>
      <c r="U170" s="17"/>
      <c r="V170" s="36"/>
      <c r="W170" s="36"/>
      <c r="X170" s="24"/>
      <c r="Y170" s="24"/>
      <c r="Z170" s="23"/>
      <c r="AA170" s="23"/>
      <c r="AB170" s="23"/>
      <c r="AC170" s="5"/>
      <c r="AD170" s="5"/>
      <c r="AE170" s="33"/>
      <c r="AF170" s="24"/>
      <c r="AG170" s="24"/>
      <c r="AH170" s="24"/>
      <c r="AI170" s="24"/>
      <c r="AJ170" s="36"/>
      <c r="AK170" s="36"/>
      <c r="AL170" s="36"/>
      <c r="AM170" s="24"/>
      <c r="AN170" s="24"/>
      <c r="AO170" s="24"/>
      <c r="AP170" s="23"/>
      <c r="AQ170" s="23"/>
    </row>
    <row r="171" spans="1:43">
      <c r="A171" s="5"/>
      <c r="B171" s="23"/>
      <c r="C171" s="24"/>
      <c r="D171" s="24"/>
      <c r="E171" s="25"/>
      <c r="F171" s="25"/>
      <c r="G171" s="25"/>
      <c r="H171" s="25"/>
      <c r="I171" s="36"/>
      <c r="J171" s="23"/>
      <c r="K171" s="24"/>
      <c r="L171" s="24"/>
      <c r="M171" s="24"/>
      <c r="N171" s="30"/>
      <c r="O171" s="24"/>
      <c r="P171" s="24"/>
      <c r="Q171" s="23"/>
      <c r="R171" s="24"/>
      <c r="S171" s="24"/>
      <c r="T171" s="24"/>
      <c r="U171" s="17"/>
      <c r="V171" s="36"/>
      <c r="W171" s="36"/>
      <c r="X171" s="24"/>
      <c r="Y171" s="24"/>
      <c r="Z171" s="23"/>
      <c r="AA171" s="23"/>
      <c r="AB171" s="23"/>
      <c r="AC171" s="5"/>
      <c r="AD171" s="5"/>
      <c r="AE171" s="33"/>
      <c r="AF171" s="24"/>
      <c r="AG171" s="24"/>
      <c r="AH171" s="24"/>
      <c r="AI171" s="24"/>
      <c r="AJ171" s="36"/>
      <c r="AK171" s="36"/>
      <c r="AL171" s="36"/>
      <c r="AM171" s="24"/>
      <c r="AN171" s="24"/>
      <c r="AO171" s="24"/>
      <c r="AP171" s="23"/>
      <c r="AQ171" s="23"/>
    </row>
    <row r="172" spans="1:43">
      <c r="A172" s="5"/>
      <c r="B172" s="23"/>
      <c r="C172" s="24"/>
      <c r="D172" s="24"/>
      <c r="E172" s="25"/>
      <c r="F172" s="25"/>
      <c r="G172" s="25"/>
      <c r="H172" s="25"/>
      <c r="I172" s="36"/>
      <c r="J172" s="23"/>
      <c r="K172" s="24"/>
      <c r="L172" s="24"/>
      <c r="M172" s="24"/>
      <c r="N172" s="30"/>
      <c r="O172" s="24"/>
      <c r="P172" s="24"/>
      <c r="Q172" s="23"/>
      <c r="R172" s="24"/>
      <c r="S172" s="24"/>
      <c r="T172" s="24"/>
      <c r="U172" s="17"/>
      <c r="V172" s="36"/>
      <c r="W172" s="36"/>
      <c r="X172" s="24"/>
      <c r="Y172" s="24"/>
      <c r="Z172" s="23"/>
      <c r="AA172" s="23"/>
      <c r="AB172" s="23"/>
      <c r="AC172" s="5"/>
      <c r="AD172" s="5"/>
      <c r="AE172" s="33"/>
      <c r="AF172" s="24"/>
      <c r="AG172" s="24"/>
      <c r="AH172" s="24"/>
      <c r="AI172" s="24"/>
      <c r="AJ172" s="36"/>
      <c r="AK172" s="36"/>
      <c r="AL172" s="36"/>
      <c r="AM172" s="24"/>
      <c r="AN172" s="24"/>
      <c r="AO172" s="24"/>
      <c r="AP172" s="23"/>
      <c r="AQ172" s="23"/>
    </row>
    <row r="173" spans="1:43">
      <c r="A173" s="5"/>
      <c r="B173" s="23"/>
      <c r="C173" s="24"/>
      <c r="D173" s="24"/>
      <c r="E173" s="25"/>
      <c r="F173" s="25"/>
      <c r="G173" s="25"/>
      <c r="H173" s="25"/>
      <c r="I173" s="36"/>
      <c r="J173" s="23"/>
      <c r="K173" s="24"/>
      <c r="L173" s="24"/>
      <c r="M173" s="24"/>
      <c r="N173" s="30"/>
      <c r="O173" s="24"/>
      <c r="P173" s="24"/>
      <c r="Q173" s="23"/>
      <c r="R173" s="24"/>
      <c r="S173" s="24"/>
      <c r="T173" s="24"/>
      <c r="U173" s="17"/>
      <c r="V173" s="36"/>
      <c r="W173" s="36"/>
      <c r="X173" s="24"/>
      <c r="Y173" s="24"/>
      <c r="Z173" s="23"/>
      <c r="AA173" s="23"/>
      <c r="AB173" s="23"/>
      <c r="AC173" s="5"/>
      <c r="AD173" s="5"/>
      <c r="AE173" s="33"/>
      <c r="AF173" s="24"/>
      <c r="AG173" s="24"/>
      <c r="AH173" s="24"/>
      <c r="AI173" s="24"/>
      <c r="AJ173" s="36"/>
      <c r="AK173" s="36"/>
      <c r="AL173" s="36"/>
      <c r="AM173" s="24"/>
      <c r="AN173" s="24"/>
      <c r="AO173" s="24"/>
      <c r="AP173" s="23"/>
      <c r="AQ173" s="23"/>
    </row>
    <row r="174" spans="1:43">
      <c r="A174" s="5"/>
      <c r="B174" s="23"/>
      <c r="C174" s="24"/>
      <c r="D174" s="24"/>
      <c r="E174" s="25"/>
      <c r="F174" s="25"/>
      <c r="G174" s="25"/>
      <c r="H174" s="25"/>
      <c r="I174" s="36"/>
      <c r="J174" s="23"/>
      <c r="K174" s="24"/>
      <c r="L174" s="24"/>
      <c r="M174" s="24"/>
      <c r="N174" s="30"/>
      <c r="O174" s="24"/>
      <c r="P174" s="24"/>
      <c r="Q174" s="23"/>
      <c r="R174" s="24"/>
      <c r="S174" s="24"/>
      <c r="T174" s="24"/>
      <c r="U174" s="17"/>
      <c r="V174" s="36"/>
      <c r="W174" s="36"/>
      <c r="X174" s="24"/>
      <c r="Y174" s="24"/>
      <c r="Z174" s="23"/>
      <c r="AA174" s="23"/>
      <c r="AB174" s="23"/>
      <c r="AC174" s="5"/>
      <c r="AD174" s="5"/>
      <c r="AE174" s="33"/>
      <c r="AF174" s="24"/>
      <c r="AG174" s="24"/>
      <c r="AH174" s="24"/>
      <c r="AI174" s="24"/>
      <c r="AJ174" s="36"/>
      <c r="AK174" s="36"/>
      <c r="AL174" s="36"/>
      <c r="AM174" s="24"/>
      <c r="AN174" s="24"/>
      <c r="AO174" s="24"/>
      <c r="AP174" s="23"/>
      <c r="AQ174" s="23"/>
    </row>
    <row r="175" spans="1:43">
      <c r="A175" s="5"/>
      <c r="B175" s="23"/>
      <c r="C175" s="24"/>
      <c r="D175" s="24"/>
      <c r="E175" s="25"/>
      <c r="F175" s="25"/>
      <c r="G175" s="25"/>
      <c r="H175" s="25"/>
      <c r="I175" s="36"/>
      <c r="J175" s="23"/>
      <c r="K175" s="24"/>
      <c r="L175" s="24"/>
      <c r="M175" s="24"/>
      <c r="N175" s="30"/>
      <c r="O175" s="24"/>
      <c r="P175" s="24"/>
      <c r="Q175" s="23"/>
      <c r="R175" s="24"/>
      <c r="S175" s="24"/>
      <c r="T175" s="24"/>
      <c r="U175" s="17"/>
      <c r="V175" s="36"/>
      <c r="W175" s="36"/>
      <c r="X175" s="24"/>
      <c r="Y175" s="24"/>
      <c r="Z175" s="23"/>
      <c r="AA175" s="23"/>
      <c r="AB175" s="23"/>
      <c r="AC175" s="5"/>
      <c r="AD175" s="5"/>
      <c r="AE175" s="33"/>
      <c r="AF175" s="24"/>
      <c r="AG175" s="24"/>
      <c r="AH175" s="24"/>
      <c r="AI175" s="24"/>
      <c r="AJ175" s="36"/>
      <c r="AK175" s="36"/>
      <c r="AL175" s="36"/>
      <c r="AM175" s="24"/>
      <c r="AN175" s="24"/>
      <c r="AO175" s="24"/>
      <c r="AP175" s="23"/>
      <c r="AQ175" s="23"/>
    </row>
    <row r="176" spans="1:43">
      <c r="A176" s="5"/>
      <c r="B176" s="23"/>
      <c r="C176" s="24"/>
      <c r="D176" s="24"/>
      <c r="E176" s="25"/>
      <c r="F176" s="25"/>
      <c r="G176" s="25"/>
      <c r="H176" s="25"/>
      <c r="I176" s="36"/>
      <c r="J176" s="23"/>
      <c r="K176" s="24"/>
      <c r="L176" s="24"/>
      <c r="M176" s="24"/>
      <c r="N176" s="30"/>
      <c r="O176" s="24"/>
      <c r="P176" s="24"/>
      <c r="Q176" s="23"/>
      <c r="R176" s="24"/>
      <c r="S176" s="24"/>
      <c r="T176" s="24"/>
      <c r="U176" s="17"/>
      <c r="V176" s="36"/>
      <c r="W176" s="36"/>
      <c r="X176" s="24"/>
      <c r="Y176" s="24"/>
      <c r="Z176" s="23"/>
      <c r="AA176" s="23"/>
      <c r="AB176" s="23"/>
      <c r="AC176" s="5"/>
      <c r="AD176" s="5"/>
      <c r="AE176" s="33"/>
      <c r="AF176" s="24"/>
      <c r="AG176" s="24"/>
      <c r="AH176" s="24"/>
      <c r="AI176" s="24"/>
      <c r="AJ176" s="36"/>
      <c r="AK176" s="36"/>
      <c r="AL176" s="36"/>
      <c r="AM176" s="24"/>
      <c r="AN176" s="24"/>
      <c r="AO176" s="24"/>
      <c r="AP176" s="23"/>
      <c r="AQ176" s="23"/>
    </row>
    <row r="177" spans="1:43">
      <c r="A177" s="5"/>
      <c r="B177" s="23"/>
      <c r="C177" s="24"/>
      <c r="D177" s="24"/>
      <c r="E177" s="25"/>
      <c r="F177" s="25"/>
      <c r="G177" s="25"/>
      <c r="H177" s="25"/>
      <c r="I177" s="36"/>
      <c r="J177" s="23"/>
      <c r="K177" s="24"/>
      <c r="L177" s="24"/>
      <c r="M177" s="24"/>
      <c r="N177" s="30"/>
      <c r="O177" s="24"/>
      <c r="P177" s="24"/>
      <c r="Q177" s="23"/>
      <c r="R177" s="24"/>
      <c r="S177" s="24"/>
      <c r="T177" s="24"/>
      <c r="U177" s="17"/>
      <c r="V177" s="36"/>
      <c r="W177" s="36"/>
      <c r="X177" s="24"/>
      <c r="Y177" s="24"/>
      <c r="Z177" s="23"/>
      <c r="AA177" s="23"/>
      <c r="AB177" s="23"/>
      <c r="AC177" s="5"/>
      <c r="AD177" s="5"/>
      <c r="AE177" s="33"/>
      <c r="AF177" s="24"/>
      <c r="AG177" s="24"/>
      <c r="AH177" s="24"/>
      <c r="AI177" s="24"/>
      <c r="AJ177" s="36"/>
      <c r="AK177" s="36"/>
      <c r="AL177" s="36"/>
      <c r="AM177" s="24"/>
      <c r="AN177" s="24"/>
      <c r="AO177" s="24"/>
      <c r="AP177" s="23"/>
      <c r="AQ177" s="23"/>
    </row>
    <row r="178" spans="1:43">
      <c r="A178" s="5"/>
      <c r="B178" s="23"/>
      <c r="C178" s="24"/>
      <c r="D178" s="24"/>
      <c r="E178" s="25"/>
      <c r="F178" s="25"/>
      <c r="G178" s="25"/>
      <c r="H178" s="25"/>
      <c r="I178" s="36"/>
      <c r="J178" s="23"/>
      <c r="K178" s="24"/>
      <c r="L178" s="24"/>
      <c r="M178" s="24"/>
      <c r="N178" s="30"/>
      <c r="O178" s="24"/>
      <c r="P178" s="24"/>
      <c r="Q178" s="23"/>
      <c r="R178" s="24"/>
      <c r="S178" s="24"/>
      <c r="T178" s="24"/>
      <c r="U178" s="17"/>
      <c r="V178" s="36"/>
      <c r="W178" s="36"/>
      <c r="X178" s="24"/>
      <c r="Y178" s="24"/>
      <c r="Z178" s="23"/>
      <c r="AA178" s="23"/>
      <c r="AB178" s="23"/>
      <c r="AC178" s="5"/>
      <c r="AD178" s="5"/>
      <c r="AE178" s="33"/>
      <c r="AF178" s="24"/>
      <c r="AG178" s="24"/>
      <c r="AH178" s="24"/>
      <c r="AI178" s="24"/>
      <c r="AJ178" s="36"/>
      <c r="AK178" s="36"/>
      <c r="AL178" s="36"/>
      <c r="AM178" s="24"/>
      <c r="AN178" s="24"/>
      <c r="AO178" s="24"/>
      <c r="AP178" s="23"/>
      <c r="AQ178" s="23"/>
    </row>
    <row r="179" spans="1:43">
      <c r="A179" s="5"/>
      <c r="B179" s="23"/>
      <c r="C179" s="24"/>
      <c r="D179" s="24"/>
      <c r="E179" s="25"/>
      <c r="F179" s="25"/>
      <c r="G179" s="25"/>
      <c r="H179" s="25"/>
      <c r="I179" s="36"/>
      <c r="J179" s="23"/>
      <c r="K179" s="24"/>
      <c r="L179" s="24"/>
      <c r="M179" s="24"/>
      <c r="N179" s="30"/>
      <c r="O179" s="24"/>
      <c r="P179" s="24"/>
      <c r="Q179" s="23"/>
      <c r="R179" s="24"/>
      <c r="S179" s="24"/>
      <c r="T179" s="24"/>
      <c r="U179" s="17"/>
      <c r="V179" s="36"/>
      <c r="W179" s="36"/>
      <c r="X179" s="24"/>
      <c r="Y179" s="24"/>
      <c r="Z179" s="23"/>
      <c r="AA179" s="23"/>
      <c r="AB179" s="23"/>
      <c r="AC179" s="5"/>
      <c r="AD179" s="5"/>
      <c r="AE179" s="33"/>
      <c r="AF179" s="24"/>
      <c r="AG179" s="24"/>
      <c r="AH179" s="24"/>
      <c r="AI179" s="24"/>
      <c r="AJ179" s="36"/>
      <c r="AK179" s="36"/>
      <c r="AL179" s="36"/>
      <c r="AM179" s="24"/>
      <c r="AN179" s="24"/>
      <c r="AO179" s="24"/>
      <c r="AP179" s="23"/>
      <c r="AQ179" s="23"/>
    </row>
    <row r="180" spans="1:43">
      <c r="A180" s="5"/>
      <c r="B180" s="23"/>
      <c r="C180" s="24"/>
      <c r="D180" s="24"/>
      <c r="E180" s="25"/>
      <c r="F180" s="25"/>
      <c r="G180" s="25"/>
      <c r="H180" s="25"/>
      <c r="I180" s="36"/>
      <c r="J180" s="23"/>
      <c r="K180" s="24"/>
      <c r="L180" s="24"/>
      <c r="M180" s="24"/>
      <c r="N180" s="30"/>
      <c r="O180" s="24"/>
      <c r="P180" s="24"/>
      <c r="Q180" s="23"/>
      <c r="R180" s="24"/>
      <c r="S180" s="24"/>
      <c r="T180" s="24"/>
      <c r="U180" s="17"/>
      <c r="V180" s="36"/>
      <c r="W180" s="36"/>
      <c r="X180" s="24"/>
      <c r="Y180" s="24"/>
      <c r="Z180" s="23"/>
      <c r="AA180" s="23"/>
      <c r="AB180" s="23"/>
      <c r="AC180" s="5"/>
      <c r="AD180" s="5"/>
      <c r="AE180" s="33"/>
      <c r="AF180" s="24"/>
      <c r="AG180" s="24"/>
      <c r="AH180" s="24"/>
      <c r="AI180" s="24"/>
      <c r="AJ180" s="36"/>
      <c r="AK180" s="36"/>
      <c r="AL180" s="36"/>
      <c r="AM180" s="24"/>
      <c r="AN180" s="24"/>
      <c r="AO180" s="24"/>
      <c r="AP180" s="23"/>
      <c r="AQ180" s="23"/>
    </row>
    <row r="181" spans="1:43">
      <c r="A181" s="5"/>
      <c r="B181" s="23"/>
      <c r="C181" s="24"/>
      <c r="D181" s="24"/>
      <c r="E181" s="25"/>
      <c r="F181" s="25"/>
      <c r="G181" s="25"/>
      <c r="H181" s="25"/>
      <c r="I181" s="36"/>
      <c r="J181" s="23"/>
      <c r="K181" s="24"/>
      <c r="L181" s="24"/>
      <c r="M181" s="24"/>
      <c r="N181" s="30"/>
      <c r="O181" s="24"/>
      <c r="P181" s="24"/>
      <c r="Q181" s="23"/>
      <c r="R181" s="24"/>
      <c r="S181" s="24"/>
      <c r="T181" s="24"/>
      <c r="U181" s="17"/>
      <c r="V181" s="36"/>
      <c r="W181" s="36"/>
      <c r="X181" s="24"/>
      <c r="Y181" s="24"/>
      <c r="Z181" s="23"/>
      <c r="AA181" s="23"/>
      <c r="AB181" s="23"/>
      <c r="AC181" s="5"/>
      <c r="AD181" s="5"/>
      <c r="AE181" s="33"/>
      <c r="AF181" s="24"/>
      <c r="AG181" s="24"/>
      <c r="AH181" s="24"/>
      <c r="AI181" s="24"/>
      <c r="AJ181" s="36"/>
      <c r="AK181" s="36"/>
      <c r="AL181" s="36"/>
      <c r="AM181" s="24"/>
      <c r="AN181" s="24"/>
      <c r="AO181" s="24"/>
      <c r="AP181" s="23"/>
      <c r="AQ181" s="23"/>
    </row>
    <row r="182" spans="1:43">
      <c r="A182" s="5"/>
      <c r="B182" s="23"/>
      <c r="C182" s="24"/>
      <c r="D182" s="24"/>
      <c r="E182" s="25"/>
      <c r="F182" s="25"/>
      <c r="G182" s="25"/>
      <c r="H182" s="25"/>
      <c r="I182" s="36"/>
      <c r="J182" s="23"/>
      <c r="K182" s="24"/>
      <c r="L182" s="24"/>
      <c r="M182" s="24"/>
      <c r="N182" s="30"/>
      <c r="O182" s="24"/>
      <c r="P182" s="24"/>
      <c r="Q182" s="23"/>
      <c r="R182" s="24"/>
      <c r="S182" s="24"/>
      <c r="T182" s="24"/>
      <c r="U182" s="17"/>
      <c r="V182" s="36"/>
      <c r="W182" s="36"/>
      <c r="X182" s="24"/>
      <c r="Y182" s="24"/>
      <c r="Z182" s="23"/>
      <c r="AA182" s="23"/>
      <c r="AB182" s="23"/>
      <c r="AC182" s="5"/>
      <c r="AD182" s="5"/>
      <c r="AE182" s="33"/>
      <c r="AF182" s="24"/>
      <c r="AG182" s="24"/>
      <c r="AH182" s="24"/>
      <c r="AI182" s="24"/>
      <c r="AJ182" s="36"/>
      <c r="AK182" s="36"/>
      <c r="AL182" s="36"/>
      <c r="AM182" s="24"/>
      <c r="AN182" s="24"/>
      <c r="AO182" s="24"/>
      <c r="AP182" s="23"/>
      <c r="AQ182" s="23"/>
    </row>
    <row r="183" spans="1:43">
      <c r="A183" s="5"/>
      <c r="B183" s="23"/>
      <c r="C183" s="24"/>
      <c r="D183" s="24"/>
      <c r="E183" s="25"/>
      <c r="F183" s="25"/>
      <c r="G183" s="25"/>
      <c r="H183" s="25"/>
      <c r="I183" s="36"/>
      <c r="J183" s="23"/>
      <c r="K183" s="24"/>
      <c r="L183" s="24"/>
      <c r="M183" s="24"/>
      <c r="N183" s="30"/>
      <c r="O183" s="24"/>
      <c r="P183" s="24"/>
      <c r="Q183" s="23"/>
      <c r="R183" s="24"/>
      <c r="S183" s="24"/>
      <c r="T183" s="24"/>
      <c r="U183" s="17"/>
      <c r="V183" s="36"/>
      <c r="W183" s="36"/>
      <c r="X183" s="24"/>
      <c r="Y183" s="24"/>
      <c r="Z183" s="23"/>
      <c r="AA183" s="23"/>
      <c r="AB183" s="23"/>
      <c r="AC183" s="5"/>
      <c r="AD183" s="5"/>
      <c r="AE183" s="33"/>
      <c r="AF183" s="24"/>
      <c r="AG183" s="24"/>
      <c r="AH183" s="24"/>
      <c r="AI183" s="24"/>
      <c r="AJ183" s="36"/>
      <c r="AK183" s="36"/>
      <c r="AL183" s="36"/>
      <c r="AM183" s="24"/>
      <c r="AN183" s="24"/>
      <c r="AO183" s="24"/>
      <c r="AP183" s="23"/>
      <c r="AQ183" s="23"/>
    </row>
    <row r="184" spans="1:43">
      <c r="A184" s="5"/>
      <c r="B184" s="23"/>
      <c r="C184" s="24"/>
      <c r="D184" s="24"/>
      <c r="E184" s="25"/>
      <c r="F184" s="25"/>
      <c r="G184" s="25"/>
      <c r="H184" s="25"/>
      <c r="I184" s="36"/>
      <c r="J184" s="23"/>
      <c r="K184" s="24"/>
      <c r="L184" s="24"/>
      <c r="M184" s="24"/>
      <c r="N184" s="30"/>
      <c r="O184" s="24"/>
      <c r="P184" s="24"/>
      <c r="Q184" s="23"/>
      <c r="R184" s="24"/>
      <c r="S184" s="24"/>
      <c r="T184" s="24"/>
      <c r="U184" s="17"/>
      <c r="V184" s="36"/>
      <c r="W184" s="36"/>
      <c r="X184" s="24"/>
      <c r="Y184" s="24"/>
      <c r="Z184" s="23"/>
      <c r="AA184" s="23"/>
      <c r="AB184" s="23"/>
      <c r="AC184" s="5"/>
      <c r="AD184" s="5"/>
      <c r="AE184" s="33"/>
      <c r="AF184" s="24"/>
      <c r="AG184" s="24"/>
      <c r="AH184" s="24"/>
      <c r="AI184" s="24"/>
      <c r="AJ184" s="36"/>
      <c r="AK184" s="36"/>
      <c r="AL184" s="36"/>
      <c r="AM184" s="24"/>
      <c r="AN184" s="24"/>
      <c r="AO184" s="24"/>
      <c r="AP184" s="23"/>
      <c r="AQ184" s="23"/>
    </row>
    <row r="185" spans="1:43">
      <c r="A185" s="5"/>
      <c r="B185" s="23"/>
      <c r="C185" s="24"/>
      <c r="D185" s="24"/>
      <c r="E185" s="25"/>
      <c r="F185" s="25"/>
      <c r="G185" s="25"/>
      <c r="H185" s="25"/>
      <c r="I185" s="36"/>
      <c r="J185" s="23"/>
      <c r="K185" s="24"/>
      <c r="L185" s="24"/>
      <c r="M185" s="24"/>
      <c r="N185" s="30"/>
      <c r="O185" s="24"/>
      <c r="P185" s="24"/>
      <c r="Q185" s="23"/>
      <c r="R185" s="24"/>
      <c r="S185" s="24"/>
      <c r="T185" s="24"/>
      <c r="U185" s="17"/>
      <c r="V185" s="36"/>
      <c r="W185" s="36"/>
      <c r="X185" s="24"/>
      <c r="Y185" s="24"/>
      <c r="Z185" s="23"/>
      <c r="AA185" s="23"/>
      <c r="AB185" s="23"/>
      <c r="AC185" s="5"/>
      <c r="AD185" s="5"/>
      <c r="AE185" s="33"/>
      <c r="AF185" s="24"/>
      <c r="AG185" s="24"/>
      <c r="AH185" s="24"/>
      <c r="AI185" s="24"/>
      <c r="AJ185" s="36"/>
      <c r="AK185" s="36"/>
      <c r="AL185" s="36"/>
      <c r="AM185" s="24"/>
      <c r="AN185" s="24"/>
      <c r="AO185" s="24"/>
      <c r="AP185" s="23"/>
      <c r="AQ185" s="23"/>
    </row>
    <row r="186" spans="1:43">
      <c r="A186" s="5"/>
      <c r="B186" s="23"/>
      <c r="C186" s="24"/>
      <c r="D186" s="24"/>
      <c r="E186" s="25"/>
      <c r="F186" s="25"/>
      <c r="G186" s="25"/>
      <c r="H186" s="25"/>
      <c r="I186" s="36"/>
      <c r="J186" s="23"/>
      <c r="K186" s="24"/>
      <c r="L186" s="24"/>
      <c r="M186" s="24"/>
      <c r="N186" s="30"/>
      <c r="O186" s="24"/>
      <c r="P186" s="24"/>
      <c r="Q186" s="23"/>
      <c r="R186" s="24"/>
      <c r="S186" s="24"/>
      <c r="T186" s="24"/>
      <c r="U186" s="17"/>
      <c r="V186" s="36"/>
      <c r="W186" s="36"/>
      <c r="X186" s="24"/>
      <c r="Y186" s="24"/>
      <c r="Z186" s="23"/>
      <c r="AA186" s="23"/>
      <c r="AB186" s="23"/>
      <c r="AC186" s="5"/>
      <c r="AD186" s="5"/>
      <c r="AE186" s="33"/>
      <c r="AF186" s="24"/>
      <c r="AG186" s="24"/>
      <c r="AH186" s="24"/>
      <c r="AI186" s="24"/>
      <c r="AJ186" s="36"/>
      <c r="AK186" s="36"/>
      <c r="AL186" s="36"/>
      <c r="AM186" s="24"/>
      <c r="AN186" s="24"/>
      <c r="AO186" s="24"/>
      <c r="AP186" s="23"/>
      <c r="AQ186" s="23"/>
    </row>
    <row r="187" spans="1:43">
      <c r="A187" s="5"/>
      <c r="B187" s="23"/>
      <c r="C187" s="24"/>
      <c r="D187" s="24"/>
      <c r="E187" s="25"/>
      <c r="F187" s="25"/>
      <c r="G187" s="25"/>
      <c r="H187" s="25"/>
      <c r="I187" s="36"/>
      <c r="J187" s="23"/>
      <c r="K187" s="24"/>
      <c r="L187" s="24"/>
      <c r="M187" s="24"/>
      <c r="N187" s="30"/>
      <c r="O187" s="24"/>
      <c r="P187" s="24"/>
      <c r="Q187" s="23"/>
      <c r="R187" s="24"/>
      <c r="S187" s="24"/>
      <c r="T187" s="24"/>
      <c r="U187" s="17"/>
      <c r="V187" s="36"/>
      <c r="W187" s="36"/>
      <c r="X187" s="24"/>
      <c r="Y187" s="24"/>
      <c r="Z187" s="23"/>
      <c r="AA187" s="23"/>
      <c r="AB187" s="23"/>
      <c r="AC187" s="5"/>
      <c r="AD187" s="5"/>
      <c r="AE187" s="33"/>
      <c r="AF187" s="24"/>
      <c r="AG187" s="24"/>
      <c r="AH187" s="24"/>
      <c r="AI187" s="24"/>
      <c r="AJ187" s="36"/>
      <c r="AK187" s="36"/>
      <c r="AL187" s="36"/>
      <c r="AM187" s="24"/>
      <c r="AN187" s="24"/>
      <c r="AO187" s="24"/>
      <c r="AP187" s="23"/>
      <c r="AQ187" s="23"/>
    </row>
    <row r="188" spans="1:43">
      <c r="A188" s="5"/>
      <c r="B188" s="23"/>
      <c r="C188" s="24"/>
      <c r="D188" s="24"/>
      <c r="E188" s="25"/>
      <c r="F188" s="25"/>
      <c r="G188" s="25"/>
      <c r="H188" s="25"/>
      <c r="I188" s="36"/>
      <c r="J188" s="23"/>
      <c r="K188" s="24"/>
      <c r="L188" s="24"/>
      <c r="M188" s="24"/>
      <c r="N188" s="30"/>
      <c r="O188" s="24"/>
      <c r="P188" s="24"/>
      <c r="Q188" s="23"/>
      <c r="R188" s="24"/>
      <c r="S188" s="24"/>
      <c r="T188" s="24"/>
      <c r="U188" s="17"/>
      <c r="V188" s="36"/>
      <c r="W188" s="36"/>
      <c r="X188" s="24"/>
      <c r="Y188" s="24"/>
      <c r="Z188" s="23"/>
      <c r="AA188" s="23"/>
      <c r="AB188" s="23"/>
      <c r="AC188" s="5"/>
      <c r="AD188" s="5"/>
      <c r="AE188" s="33"/>
      <c r="AF188" s="24"/>
      <c r="AG188" s="24"/>
      <c r="AH188" s="24"/>
      <c r="AI188" s="24"/>
      <c r="AJ188" s="36"/>
      <c r="AK188" s="36"/>
      <c r="AL188" s="36"/>
      <c r="AM188" s="24"/>
      <c r="AN188" s="24"/>
      <c r="AO188" s="24"/>
      <c r="AP188" s="23"/>
      <c r="AQ188" s="23"/>
    </row>
    <row r="189" spans="1:43">
      <c r="A189" s="5"/>
      <c r="B189" s="23"/>
      <c r="C189" s="24"/>
      <c r="D189" s="24"/>
      <c r="E189" s="25"/>
      <c r="F189" s="25"/>
      <c r="G189" s="25"/>
      <c r="H189" s="25"/>
      <c r="I189" s="36"/>
      <c r="J189" s="23"/>
      <c r="K189" s="24"/>
      <c r="L189" s="24"/>
      <c r="M189" s="24"/>
      <c r="N189" s="30"/>
      <c r="O189" s="24"/>
      <c r="P189" s="24"/>
      <c r="Q189" s="23"/>
      <c r="R189" s="24"/>
      <c r="S189" s="24"/>
      <c r="T189" s="24"/>
      <c r="U189" s="17"/>
      <c r="V189" s="36"/>
      <c r="W189" s="36"/>
      <c r="X189" s="24"/>
      <c r="Y189" s="24"/>
      <c r="Z189" s="23"/>
      <c r="AA189" s="23"/>
      <c r="AB189" s="23"/>
      <c r="AC189" s="5"/>
      <c r="AD189" s="5"/>
      <c r="AE189" s="33"/>
      <c r="AF189" s="24"/>
      <c r="AG189" s="24"/>
      <c r="AH189" s="24"/>
      <c r="AI189" s="24"/>
      <c r="AJ189" s="36"/>
      <c r="AK189" s="36"/>
      <c r="AL189" s="36"/>
      <c r="AM189" s="24"/>
      <c r="AN189" s="24"/>
      <c r="AO189" s="24"/>
      <c r="AP189" s="23"/>
      <c r="AQ189" s="23"/>
    </row>
    <row r="190" spans="1:43">
      <c r="A190" s="5"/>
      <c r="B190" s="23"/>
      <c r="C190" s="24"/>
      <c r="D190" s="24"/>
      <c r="E190" s="25"/>
      <c r="F190" s="25"/>
      <c r="G190" s="25"/>
      <c r="H190" s="25"/>
      <c r="I190" s="36"/>
      <c r="J190" s="23"/>
      <c r="K190" s="24"/>
      <c r="L190" s="24"/>
      <c r="M190" s="24"/>
      <c r="N190" s="30"/>
      <c r="O190" s="24"/>
      <c r="P190" s="24"/>
      <c r="Q190" s="23"/>
      <c r="R190" s="24"/>
      <c r="S190" s="24"/>
      <c r="T190" s="24"/>
      <c r="U190" s="17"/>
      <c r="V190" s="36"/>
      <c r="W190" s="36"/>
      <c r="X190" s="24"/>
      <c r="Y190" s="24"/>
      <c r="Z190" s="23"/>
      <c r="AA190" s="23"/>
      <c r="AB190" s="23"/>
      <c r="AC190" s="5"/>
      <c r="AD190" s="5"/>
      <c r="AE190" s="33"/>
      <c r="AF190" s="24"/>
      <c r="AG190" s="24"/>
      <c r="AH190" s="24"/>
      <c r="AI190" s="24"/>
      <c r="AJ190" s="36"/>
      <c r="AK190" s="36"/>
      <c r="AL190" s="36"/>
      <c r="AM190" s="24"/>
      <c r="AN190" s="24"/>
      <c r="AO190" s="24"/>
      <c r="AP190" s="23"/>
      <c r="AQ190" s="23"/>
    </row>
    <row r="191" spans="1:43">
      <c r="A191" s="5"/>
      <c r="B191" s="23"/>
      <c r="C191" s="24"/>
      <c r="D191" s="24"/>
      <c r="E191" s="25"/>
      <c r="F191" s="25"/>
      <c r="G191" s="25"/>
      <c r="H191" s="25"/>
      <c r="I191" s="36"/>
      <c r="J191" s="23"/>
      <c r="K191" s="24"/>
      <c r="L191" s="24"/>
      <c r="M191" s="24"/>
      <c r="N191" s="30"/>
      <c r="O191" s="24"/>
      <c r="P191" s="24"/>
      <c r="Q191" s="23"/>
      <c r="R191" s="24"/>
      <c r="S191" s="24"/>
      <c r="T191" s="24"/>
      <c r="U191" s="17"/>
      <c r="V191" s="36"/>
      <c r="W191" s="36"/>
      <c r="X191" s="24"/>
      <c r="Y191" s="24"/>
      <c r="Z191" s="23"/>
      <c r="AA191" s="23"/>
      <c r="AB191" s="23"/>
      <c r="AC191" s="5"/>
      <c r="AD191" s="5"/>
      <c r="AE191" s="33"/>
      <c r="AF191" s="24"/>
      <c r="AG191" s="24"/>
      <c r="AH191" s="24"/>
      <c r="AI191" s="24"/>
      <c r="AJ191" s="36"/>
      <c r="AK191" s="36"/>
      <c r="AL191" s="36"/>
      <c r="AM191" s="24"/>
      <c r="AN191" s="24"/>
      <c r="AO191" s="24"/>
      <c r="AP191" s="23"/>
      <c r="AQ191" s="23"/>
    </row>
    <row r="192" spans="1:43">
      <c r="A192" s="5"/>
      <c r="B192" s="23"/>
      <c r="C192" s="24"/>
      <c r="D192" s="24"/>
      <c r="E192" s="25"/>
      <c r="F192" s="25"/>
      <c r="G192" s="25"/>
      <c r="H192" s="25"/>
      <c r="I192" s="36"/>
      <c r="J192" s="23"/>
      <c r="K192" s="24"/>
      <c r="L192" s="24"/>
      <c r="M192" s="24"/>
      <c r="N192" s="30"/>
      <c r="O192" s="24"/>
      <c r="P192" s="24"/>
      <c r="Q192" s="23"/>
      <c r="R192" s="24"/>
      <c r="S192" s="24"/>
      <c r="T192" s="24"/>
      <c r="U192" s="17"/>
      <c r="V192" s="36"/>
      <c r="W192" s="36"/>
      <c r="X192" s="24"/>
      <c r="Y192" s="24"/>
      <c r="Z192" s="23"/>
      <c r="AA192" s="23"/>
      <c r="AB192" s="23"/>
      <c r="AC192" s="5"/>
      <c r="AD192" s="5"/>
      <c r="AE192" s="33"/>
      <c r="AF192" s="24"/>
      <c r="AG192" s="24"/>
      <c r="AH192" s="24"/>
      <c r="AI192" s="24"/>
      <c r="AJ192" s="36"/>
      <c r="AK192" s="36"/>
      <c r="AL192" s="36"/>
      <c r="AM192" s="24"/>
      <c r="AN192" s="24"/>
      <c r="AO192" s="24"/>
      <c r="AP192" s="23"/>
      <c r="AQ192" s="23"/>
    </row>
    <row r="193" spans="1:43">
      <c r="A193" s="5"/>
      <c r="B193" s="23"/>
      <c r="C193" s="24"/>
      <c r="D193" s="24"/>
      <c r="E193" s="25"/>
      <c r="F193" s="25"/>
      <c r="G193" s="25"/>
      <c r="H193" s="25"/>
      <c r="I193" s="36"/>
      <c r="J193" s="23"/>
      <c r="K193" s="24"/>
      <c r="L193" s="24"/>
      <c r="M193" s="24"/>
      <c r="N193" s="30"/>
      <c r="O193" s="24"/>
      <c r="P193" s="24"/>
      <c r="Q193" s="23"/>
      <c r="R193" s="24"/>
      <c r="S193" s="24"/>
      <c r="T193" s="24"/>
      <c r="U193" s="17"/>
      <c r="V193" s="36"/>
      <c r="W193" s="36"/>
      <c r="X193" s="24"/>
      <c r="Y193" s="24"/>
      <c r="Z193" s="23"/>
      <c r="AA193" s="23"/>
      <c r="AB193" s="23"/>
      <c r="AC193" s="5"/>
      <c r="AD193" s="5"/>
      <c r="AE193" s="33"/>
      <c r="AF193" s="24"/>
      <c r="AG193" s="24"/>
      <c r="AH193" s="24"/>
      <c r="AI193" s="24"/>
      <c r="AJ193" s="36"/>
      <c r="AK193" s="36"/>
      <c r="AL193" s="36"/>
      <c r="AM193" s="24"/>
      <c r="AN193" s="24"/>
      <c r="AO193" s="24"/>
      <c r="AP193" s="23"/>
      <c r="AQ193" s="23"/>
    </row>
    <row r="194" spans="1:43">
      <c r="A194" s="5"/>
      <c r="B194" s="23"/>
      <c r="C194" s="24"/>
      <c r="D194" s="24"/>
      <c r="E194" s="25"/>
      <c r="F194" s="25"/>
      <c r="G194" s="25"/>
      <c r="H194" s="25"/>
      <c r="I194" s="36"/>
      <c r="J194" s="23"/>
      <c r="K194" s="24"/>
      <c r="L194" s="24"/>
      <c r="M194" s="24"/>
      <c r="N194" s="30"/>
      <c r="O194" s="24"/>
      <c r="P194" s="24"/>
      <c r="Q194" s="23"/>
      <c r="R194" s="24"/>
      <c r="S194" s="24"/>
      <c r="T194" s="24"/>
      <c r="U194" s="17"/>
      <c r="V194" s="36"/>
      <c r="W194" s="36"/>
      <c r="X194" s="24"/>
      <c r="Y194" s="24"/>
      <c r="Z194" s="23"/>
      <c r="AA194" s="23"/>
      <c r="AB194" s="23"/>
      <c r="AC194" s="5"/>
      <c r="AD194" s="5"/>
      <c r="AE194" s="33"/>
      <c r="AF194" s="24"/>
      <c r="AG194" s="24"/>
      <c r="AH194" s="24"/>
      <c r="AI194" s="24"/>
      <c r="AJ194" s="36"/>
      <c r="AK194" s="36"/>
      <c r="AL194" s="36"/>
      <c r="AM194" s="24"/>
      <c r="AN194" s="24"/>
      <c r="AO194" s="24"/>
      <c r="AP194" s="23"/>
      <c r="AQ194" s="23"/>
    </row>
    <row r="195" spans="1:43">
      <c r="A195" s="5"/>
      <c r="B195" s="23"/>
      <c r="C195" s="24"/>
      <c r="D195" s="24"/>
      <c r="E195" s="25"/>
      <c r="F195" s="25"/>
      <c r="G195" s="25"/>
      <c r="H195" s="25"/>
      <c r="I195" s="36"/>
      <c r="J195" s="23"/>
      <c r="K195" s="24"/>
      <c r="L195" s="24"/>
      <c r="M195" s="24"/>
      <c r="N195" s="30"/>
      <c r="O195" s="24"/>
      <c r="P195" s="24"/>
      <c r="Q195" s="23"/>
      <c r="R195" s="24"/>
      <c r="S195" s="24"/>
      <c r="T195" s="24"/>
      <c r="U195" s="17"/>
      <c r="V195" s="36"/>
      <c r="W195" s="36"/>
      <c r="X195" s="24"/>
      <c r="Y195" s="24"/>
      <c r="Z195" s="23"/>
      <c r="AA195" s="23"/>
      <c r="AB195" s="23"/>
      <c r="AC195" s="5"/>
      <c r="AD195" s="5"/>
      <c r="AE195" s="33"/>
      <c r="AF195" s="24"/>
      <c r="AG195" s="24"/>
      <c r="AH195" s="24"/>
      <c r="AI195" s="24"/>
      <c r="AJ195" s="36"/>
      <c r="AK195" s="36"/>
      <c r="AL195" s="36"/>
      <c r="AM195" s="24"/>
      <c r="AN195" s="24"/>
      <c r="AO195" s="24"/>
      <c r="AP195" s="23"/>
      <c r="AQ195" s="23"/>
    </row>
    <row r="196" spans="1:43">
      <c r="A196" s="5"/>
      <c r="B196" s="23"/>
      <c r="C196" s="24"/>
      <c r="D196" s="24"/>
      <c r="E196" s="25"/>
      <c r="F196" s="25"/>
      <c r="G196" s="25"/>
      <c r="H196" s="25"/>
      <c r="I196" s="36"/>
      <c r="J196" s="23"/>
      <c r="K196" s="24"/>
      <c r="L196" s="24"/>
      <c r="M196" s="24"/>
      <c r="N196" s="30"/>
      <c r="O196" s="24"/>
      <c r="P196" s="24"/>
      <c r="Q196" s="23"/>
      <c r="R196" s="24"/>
      <c r="S196" s="24"/>
      <c r="T196" s="24"/>
      <c r="U196" s="17"/>
      <c r="V196" s="36"/>
      <c r="W196" s="36"/>
      <c r="X196" s="24"/>
      <c r="Y196" s="24"/>
      <c r="Z196" s="23"/>
      <c r="AA196" s="23"/>
      <c r="AB196" s="23"/>
      <c r="AC196" s="5"/>
      <c r="AD196" s="5"/>
      <c r="AE196" s="33"/>
      <c r="AF196" s="24"/>
      <c r="AG196" s="24"/>
      <c r="AH196" s="24"/>
      <c r="AI196" s="24"/>
      <c r="AJ196" s="36"/>
      <c r="AK196" s="36"/>
      <c r="AL196" s="36"/>
      <c r="AM196" s="24"/>
      <c r="AN196" s="24"/>
      <c r="AO196" s="24"/>
      <c r="AP196" s="23"/>
      <c r="AQ196" s="23"/>
    </row>
    <row r="197" spans="1:43">
      <c r="A197" s="5"/>
      <c r="B197" s="23"/>
      <c r="C197" s="24"/>
      <c r="D197" s="24"/>
      <c r="E197" s="25"/>
      <c r="F197" s="25"/>
      <c r="G197" s="25"/>
      <c r="H197" s="25"/>
      <c r="I197" s="36"/>
      <c r="J197" s="23"/>
      <c r="K197" s="24"/>
      <c r="L197" s="24"/>
      <c r="M197" s="24"/>
      <c r="N197" s="30"/>
      <c r="O197" s="24"/>
      <c r="P197" s="24"/>
      <c r="Q197" s="23"/>
      <c r="R197" s="24"/>
      <c r="S197" s="24"/>
      <c r="T197" s="24"/>
      <c r="U197" s="17"/>
      <c r="V197" s="36"/>
      <c r="W197" s="36"/>
      <c r="X197" s="24"/>
      <c r="Y197" s="24"/>
      <c r="Z197" s="23"/>
      <c r="AA197" s="23"/>
      <c r="AB197" s="23"/>
      <c r="AC197" s="5"/>
      <c r="AD197" s="5"/>
      <c r="AE197" s="33"/>
      <c r="AF197" s="24"/>
      <c r="AG197" s="24"/>
      <c r="AH197" s="24"/>
      <c r="AI197" s="24"/>
      <c r="AJ197" s="36"/>
      <c r="AK197" s="36"/>
      <c r="AL197" s="36"/>
      <c r="AM197" s="24"/>
      <c r="AN197" s="24"/>
      <c r="AO197" s="24"/>
      <c r="AP197" s="23"/>
      <c r="AQ197" s="23"/>
    </row>
    <row r="198" spans="1:43">
      <c r="A198" s="5"/>
      <c r="B198" s="23"/>
      <c r="C198" s="24"/>
      <c r="D198" s="24"/>
      <c r="E198" s="25"/>
      <c r="F198" s="25"/>
      <c r="G198" s="25"/>
      <c r="H198" s="25"/>
      <c r="I198" s="36"/>
      <c r="J198" s="23"/>
      <c r="K198" s="24"/>
      <c r="L198" s="24"/>
      <c r="M198" s="24"/>
      <c r="N198" s="30"/>
      <c r="O198" s="24"/>
      <c r="P198" s="24"/>
      <c r="Q198" s="23"/>
      <c r="R198" s="24"/>
      <c r="S198" s="24"/>
      <c r="T198" s="24"/>
      <c r="U198" s="17"/>
      <c r="V198" s="36"/>
      <c r="W198" s="36"/>
      <c r="X198" s="24"/>
      <c r="Y198" s="24"/>
      <c r="Z198" s="23"/>
      <c r="AA198" s="23"/>
      <c r="AB198" s="23"/>
      <c r="AC198" s="5"/>
      <c r="AD198" s="5"/>
      <c r="AE198" s="33"/>
      <c r="AF198" s="24"/>
      <c r="AG198" s="24"/>
      <c r="AH198" s="24"/>
      <c r="AI198" s="24"/>
      <c r="AJ198" s="36"/>
      <c r="AK198" s="36"/>
      <c r="AL198" s="36"/>
      <c r="AM198" s="24"/>
      <c r="AN198" s="24"/>
      <c r="AO198" s="24"/>
      <c r="AP198" s="23"/>
      <c r="AQ198" s="23"/>
    </row>
    <row r="199" spans="1:43">
      <c r="A199" s="5"/>
      <c r="B199" s="23"/>
      <c r="C199" s="24"/>
      <c r="D199" s="24"/>
      <c r="E199" s="25"/>
      <c r="F199" s="25"/>
      <c r="G199" s="25"/>
      <c r="H199" s="25"/>
      <c r="I199" s="36"/>
      <c r="J199" s="23"/>
      <c r="K199" s="24"/>
      <c r="L199" s="24"/>
      <c r="M199" s="24"/>
      <c r="N199" s="30"/>
      <c r="O199" s="24"/>
      <c r="P199" s="24"/>
      <c r="Q199" s="23"/>
      <c r="R199" s="24"/>
      <c r="S199" s="24"/>
      <c r="T199" s="24"/>
      <c r="U199" s="17"/>
      <c r="V199" s="36"/>
      <c r="W199" s="36"/>
      <c r="X199" s="24"/>
      <c r="Y199" s="24"/>
      <c r="Z199" s="23"/>
      <c r="AA199" s="23"/>
      <c r="AB199" s="23"/>
      <c r="AC199" s="5"/>
      <c r="AD199" s="5"/>
      <c r="AE199" s="33"/>
      <c r="AF199" s="24"/>
      <c r="AG199" s="24"/>
      <c r="AH199" s="24"/>
      <c r="AI199" s="24"/>
      <c r="AJ199" s="36"/>
      <c r="AK199" s="36"/>
      <c r="AL199" s="36"/>
      <c r="AM199" s="24"/>
      <c r="AN199" s="24"/>
      <c r="AO199" s="24"/>
      <c r="AP199" s="23"/>
      <c r="AQ199" s="23"/>
    </row>
    <row r="200" spans="1:43">
      <c r="A200" s="5"/>
      <c r="B200" s="26"/>
      <c r="C200" s="27"/>
      <c r="D200" s="27"/>
      <c r="E200" s="28"/>
      <c r="F200" s="28"/>
      <c r="G200" s="28"/>
      <c r="H200" s="28"/>
      <c r="I200" s="37"/>
      <c r="J200" s="26"/>
      <c r="K200" s="27"/>
      <c r="L200" s="27"/>
      <c r="M200" s="27"/>
      <c r="N200" s="31"/>
      <c r="O200" s="27"/>
      <c r="P200" s="27"/>
      <c r="Q200" s="26"/>
      <c r="R200" s="27"/>
      <c r="S200" s="27"/>
      <c r="T200" s="27"/>
      <c r="U200" s="18"/>
      <c r="V200" s="37"/>
      <c r="W200" s="37"/>
      <c r="X200" s="27"/>
      <c r="Y200" s="27"/>
      <c r="Z200" s="26"/>
      <c r="AA200" s="26"/>
      <c r="AB200" s="26"/>
      <c r="AC200" s="5"/>
      <c r="AD200" s="5"/>
      <c r="AE200" s="34"/>
      <c r="AF200" s="27"/>
      <c r="AG200" s="27"/>
      <c r="AH200" s="27"/>
      <c r="AI200" s="27"/>
      <c r="AJ200" s="37"/>
      <c r="AK200" s="37"/>
      <c r="AL200" s="37"/>
      <c r="AM200" s="27"/>
      <c r="AN200" s="27"/>
      <c r="AO200" s="27"/>
      <c r="AP200" s="26"/>
      <c r="AQ200" s="26"/>
    </row>
    <row r="201" spans="1:43">
      <c r="J201" s="39"/>
      <c r="Q201" s="39"/>
      <c r="Z201" s="39"/>
      <c r="AA201" s="39"/>
      <c r="AB201" s="39"/>
      <c r="AE201" s="4"/>
    </row>
    <row r="202" spans="1:43">
      <c r="J202" s="39"/>
      <c r="Q202" s="39"/>
      <c r="Z202" s="39"/>
      <c r="AA202" s="39"/>
      <c r="AB202" s="39"/>
      <c r="AE202" s="4"/>
    </row>
    <row r="203" spans="1:43">
      <c r="J203" s="39"/>
      <c r="Q203" s="39"/>
      <c r="Z203" s="39"/>
      <c r="AA203" s="39"/>
      <c r="AB203" s="39"/>
      <c r="AE203" s="4"/>
    </row>
    <row r="204" spans="1:43">
      <c r="J204" s="39"/>
      <c r="Q204" s="39"/>
      <c r="Z204" s="39"/>
      <c r="AA204" s="39"/>
      <c r="AB204" s="39"/>
      <c r="AE204" s="4"/>
    </row>
    <row r="205" spans="1:43">
      <c r="J205" s="39"/>
      <c r="Q205" s="39"/>
      <c r="Z205" s="39"/>
      <c r="AA205" s="39"/>
      <c r="AB205" s="39"/>
      <c r="AE205" s="4"/>
    </row>
    <row r="206" spans="1:43">
      <c r="J206" s="39"/>
      <c r="Q206" s="39"/>
      <c r="Z206" s="39"/>
      <c r="AA206" s="39"/>
      <c r="AB206" s="39"/>
      <c r="AE206" s="4"/>
    </row>
    <row r="207" spans="1:43">
      <c r="J207" s="39"/>
      <c r="Q207" s="39"/>
      <c r="Z207" s="39"/>
      <c r="AA207" s="39"/>
      <c r="AB207" s="39"/>
      <c r="AE207" s="4"/>
    </row>
    <row r="208" spans="1:43">
      <c r="J208" s="39"/>
      <c r="Q208" s="39"/>
      <c r="Z208" s="39"/>
      <c r="AA208" s="39"/>
      <c r="AB208" s="39"/>
      <c r="AE208" s="4"/>
    </row>
    <row r="209" spans="10:31">
      <c r="J209" s="39"/>
      <c r="Q209" s="39"/>
      <c r="Z209" s="39"/>
      <c r="AA209" s="39"/>
      <c r="AB209" s="39"/>
      <c r="AE209" s="4"/>
    </row>
    <row r="210" spans="10:31">
      <c r="J210" s="39"/>
      <c r="Q210" s="39"/>
      <c r="Z210" s="39"/>
      <c r="AA210" s="39"/>
      <c r="AB210" s="39"/>
      <c r="AE210" s="4"/>
    </row>
    <row r="211" spans="10:31">
      <c r="J211" s="39"/>
      <c r="Q211" s="39"/>
      <c r="Z211" s="39"/>
      <c r="AA211" s="39"/>
      <c r="AB211" s="39"/>
      <c r="AE211" s="4"/>
    </row>
    <row r="212" spans="10:31">
      <c r="J212" s="39"/>
      <c r="Q212" s="39"/>
      <c r="Z212" s="39"/>
      <c r="AA212" s="39"/>
      <c r="AB212" s="39"/>
      <c r="AE212" s="4"/>
    </row>
    <row r="213" spans="10:31">
      <c r="J213" s="39"/>
      <c r="Q213" s="39"/>
      <c r="Z213" s="39"/>
      <c r="AA213" s="39"/>
      <c r="AB213" s="39"/>
      <c r="AE213" s="4"/>
    </row>
    <row r="214" spans="10:31">
      <c r="J214" s="39"/>
      <c r="Q214" s="39"/>
      <c r="Z214" s="39"/>
      <c r="AA214" s="39"/>
      <c r="AB214" s="39"/>
      <c r="AE214" s="4"/>
    </row>
    <row r="215" spans="10:31">
      <c r="J215" s="39"/>
      <c r="Q215" s="39"/>
      <c r="Z215" s="39"/>
      <c r="AA215" s="39"/>
      <c r="AB215" s="39"/>
      <c r="AE215" s="4"/>
    </row>
    <row r="216" spans="10:31">
      <c r="J216" s="39"/>
      <c r="Q216" s="39"/>
      <c r="Z216" s="39"/>
      <c r="AA216" s="39"/>
      <c r="AB216" s="39"/>
      <c r="AE216" s="4"/>
    </row>
    <row r="217" spans="10:31">
      <c r="J217" s="39"/>
      <c r="Q217" s="39"/>
      <c r="Z217" s="39"/>
      <c r="AA217" s="39"/>
      <c r="AB217" s="39"/>
      <c r="AE217" s="4"/>
    </row>
    <row r="218" spans="10:31">
      <c r="J218" s="39"/>
      <c r="Q218" s="39"/>
      <c r="Z218" s="39"/>
      <c r="AA218" s="39"/>
      <c r="AB218" s="39"/>
      <c r="AE218" s="4"/>
    </row>
    <row r="219" spans="10:31">
      <c r="J219" s="39"/>
      <c r="Q219" s="39"/>
      <c r="Z219" s="39"/>
      <c r="AA219" s="39"/>
      <c r="AB219" s="39"/>
      <c r="AE219" s="4"/>
    </row>
    <row r="220" spans="10:31">
      <c r="J220" s="39"/>
      <c r="Q220" s="39"/>
      <c r="Z220" s="39"/>
      <c r="AA220" s="39"/>
      <c r="AB220" s="39"/>
      <c r="AE220" s="4"/>
    </row>
    <row r="221" spans="10:31">
      <c r="J221" s="39"/>
      <c r="Q221" s="39"/>
      <c r="Z221" s="39"/>
      <c r="AA221" s="39"/>
      <c r="AB221" s="39"/>
      <c r="AE221" s="4"/>
    </row>
    <row r="222" spans="10:31">
      <c r="J222" s="39"/>
      <c r="Q222" s="39"/>
      <c r="Z222" s="39"/>
      <c r="AA222" s="39"/>
      <c r="AB222" s="39"/>
      <c r="AE222" s="4"/>
    </row>
    <row r="223" spans="10:31">
      <c r="J223" s="39"/>
      <c r="Q223" s="39"/>
      <c r="Z223" s="39"/>
      <c r="AA223" s="39"/>
      <c r="AB223" s="39"/>
      <c r="AE223" s="4"/>
    </row>
    <row r="224" spans="10:31">
      <c r="J224" s="39"/>
      <c r="Q224" s="39"/>
      <c r="Z224" s="39"/>
      <c r="AA224" s="39"/>
      <c r="AB224" s="39"/>
      <c r="AE224" s="4"/>
    </row>
    <row r="225" spans="10:31">
      <c r="J225" s="39"/>
      <c r="Q225" s="39"/>
      <c r="Z225" s="39"/>
      <c r="AA225" s="39"/>
      <c r="AB225" s="39"/>
      <c r="AE225" s="4"/>
    </row>
    <row r="226" spans="10:31">
      <c r="J226" s="39"/>
      <c r="Q226" s="39"/>
      <c r="Z226" s="39"/>
      <c r="AA226" s="39"/>
      <c r="AB226" s="39"/>
      <c r="AE226" s="4"/>
    </row>
    <row r="227" spans="10:31">
      <c r="J227" s="39"/>
      <c r="Q227" s="39"/>
      <c r="Z227" s="39"/>
      <c r="AA227" s="39"/>
      <c r="AB227" s="39"/>
      <c r="AE227" s="4"/>
    </row>
    <row r="228" spans="10:31">
      <c r="J228" s="39"/>
      <c r="Q228" s="39"/>
      <c r="Z228" s="39"/>
      <c r="AA228" s="39"/>
      <c r="AB228" s="39"/>
      <c r="AE228" s="4"/>
    </row>
    <row r="229" spans="10:31">
      <c r="J229" s="39"/>
      <c r="Q229" s="39"/>
      <c r="Z229" s="39"/>
      <c r="AA229" s="39"/>
      <c r="AB229" s="39"/>
      <c r="AE229" s="4"/>
    </row>
    <row r="230" spans="10:31">
      <c r="J230" s="39"/>
      <c r="Q230" s="39"/>
      <c r="Z230" s="39"/>
      <c r="AA230" s="39"/>
      <c r="AB230" s="39"/>
      <c r="AE230" s="4"/>
    </row>
    <row r="231" spans="10:31">
      <c r="J231" s="39"/>
      <c r="Q231" s="39"/>
      <c r="Z231" s="39"/>
      <c r="AA231" s="39"/>
      <c r="AB231" s="39"/>
      <c r="AE231" s="4"/>
    </row>
    <row r="232" spans="10:31">
      <c r="J232" s="39"/>
      <c r="Q232" s="39"/>
      <c r="Z232" s="39"/>
      <c r="AA232" s="39"/>
      <c r="AB232" s="39"/>
      <c r="AE232" s="4"/>
    </row>
    <row r="233" spans="10:31">
      <c r="J233" s="39"/>
      <c r="Q233" s="39"/>
      <c r="Z233" s="39"/>
      <c r="AA233" s="39"/>
      <c r="AB233" s="39"/>
      <c r="AE233" s="4"/>
    </row>
    <row r="234" spans="10:31">
      <c r="J234" s="39"/>
      <c r="Q234" s="39"/>
      <c r="Z234" s="39"/>
      <c r="AA234" s="39"/>
      <c r="AB234" s="39"/>
      <c r="AE234" s="4"/>
    </row>
    <row r="235" spans="10:31">
      <c r="J235" s="39"/>
      <c r="Q235" s="39"/>
      <c r="Z235" s="39"/>
      <c r="AA235" s="39"/>
      <c r="AB235" s="39"/>
      <c r="AE235" s="4"/>
    </row>
    <row r="236" spans="10:31">
      <c r="J236" s="39"/>
      <c r="Q236" s="39"/>
      <c r="Z236" s="39"/>
      <c r="AA236" s="39"/>
      <c r="AB236" s="39"/>
      <c r="AE236" s="4"/>
    </row>
    <row r="237" spans="10:31">
      <c r="J237" s="39"/>
      <c r="Q237" s="39"/>
      <c r="Z237" s="39"/>
      <c r="AA237" s="39"/>
      <c r="AB237" s="39"/>
      <c r="AE237" s="4"/>
    </row>
    <row r="238" spans="10:31">
      <c r="J238" s="39"/>
      <c r="Q238" s="39"/>
      <c r="Z238" s="39"/>
      <c r="AA238" s="39"/>
      <c r="AB238" s="39"/>
      <c r="AE238" s="4"/>
    </row>
    <row r="239" spans="10:31">
      <c r="J239" s="39"/>
      <c r="Q239" s="39"/>
      <c r="Z239" s="39"/>
      <c r="AA239" s="39"/>
      <c r="AB239" s="39"/>
      <c r="AE239" s="4"/>
    </row>
    <row r="240" spans="10:31">
      <c r="J240" s="39"/>
      <c r="Q240" s="39"/>
      <c r="Z240" s="39"/>
      <c r="AA240" s="39"/>
      <c r="AB240" s="39"/>
      <c r="AE240" s="4"/>
    </row>
    <row r="241" spans="10:31">
      <c r="J241" s="39"/>
      <c r="Q241" s="39"/>
      <c r="Z241" s="39"/>
      <c r="AA241" s="39"/>
      <c r="AB241" s="39"/>
      <c r="AE241" s="4"/>
    </row>
    <row r="242" spans="10:31">
      <c r="J242" s="39"/>
      <c r="Q242" s="39"/>
      <c r="Z242" s="39"/>
      <c r="AA242" s="39"/>
      <c r="AB242" s="39"/>
      <c r="AE242" s="4"/>
    </row>
    <row r="243" spans="10:31">
      <c r="J243" s="39"/>
      <c r="Q243" s="39"/>
      <c r="Z243" s="39"/>
      <c r="AA243" s="39"/>
      <c r="AB243" s="39"/>
      <c r="AE243" s="4"/>
    </row>
    <row r="244" spans="10:31">
      <c r="J244" s="39"/>
      <c r="Q244" s="39"/>
      <c r="Z244" s="39"/>
      <c r="AA244" s="39"/>
      <c r="AB244" s="39"/>
      <c r="AE244" s="4"/>
    </row>
    <row r="245" spans="10:31">
      <c r="J245" s="39"/>
      <c r="Q245" s="39"/>
      <c r="Z245" s="39"/>
      <c r="AA245" s="39"/>
      <c r="AB245" s="39"/>
      <c r="AE245" s="4"/>
    </row>
    <row r="246" spans="10:31">
      <c r="J246" s="39"/>
      <c r="Q246" s="39"/>
      <c r="Z246" s="39"/>
      <c r="AA246" s="39"/>
      <c r="AB246" s="39"/>
      <c r="AE246" s="4"/>
    </row>
    <row r="247" spans="10:31">
      <c r="J247" s="39"/>
      <c r="Q247" s="39"/>
      <c r="Z247" s="39"/>
      <c r="AA247" s="39"/>
      <c r="AB247" s="39"/>
      <c r="AE247" s="4"/>
    </row>
    <row r="248" spans="10:31">
      <c r="J248" s="39"/>
      <c r="Q248" s="39"/>
      <c r="Z248" s="39"/>
      <c r="AA248" s="39"/>
      <c r="AB248" s="39"/>
      <c r="AE248" s="4"/>
    </row>
    <row r="249" spans="10:31">
      <c r="J249" s="39"/>
      <c r="Q249" s="39"/>
      <c r="Z249" s="39"/>
      <c r="AA249" s="39"/>
      <c r="AB249" s="39"/>
      <c r="AE249" s="4"/>
    </row>
    <row r="250" spans="10:31">
      <c r="J250" s="39"/>
      <c r="Q250" s="39"/>
      <c r="Z250" s="39"/>
      <c r="AA250" s="39"/>
      <c r="AB250" s="39"/>
      <c r="AE250" s="4"/>
    </row>
    <row r="251" spans="10:31">
      <c r="J251" s="39"/>
      <c r="Q251" s="39"/>
      <c r="Z251" s="39"/>
      <c r="AA251" s="39"/>
      <c r="AB251" s="39"/>
      <c r="AE251" s="4"/>
    </row>
    <row r="252" spans="10:31">
      <c r="J252" s="39"/>
      <c r="Q252" s="39"/>
      <c r="Z252" s="39"/>
      <c r="AA252" s="39"/>
      <c r="AB252" s="39"/>
      <c r="AE252" s="4"/>
    </row>
    <row r="253" spans="10:31">
      <c r="J253" s="39"/>
      <c r="Q253" s="39"/>
      <c r="Z253" s="39"/>
      <c r="AA253" s="39"/>
      <c r="AB253" s="39"/>
      <c r="AE253" s="4"/>
    </row>
    <row r="254" spans="10:31">
      <c r="J254" s="39"/>
      <c r="Q254" s="39"/>
      <c r="Z254" s="39"/>
      <c r="AA254" s="39"/>
      <c r="AB254" s="39"/>
      <c r="AE254" s="4"/>
    </row>
    <row r="255" spans="10:31">
      <c r="J255" s="39"/>
      <c r="Q255" s="39"/>
      <c r="Z255" s="39"/>
      <c r="AA255" s="39"/>
      <c r="AB255" s="39"/>
      <c r="AE255" s="4"/>
    </row>
    <row r="256" spans="10:31">
      <c r="J256" s="39"/>
      <c r="Q256" s="39"/>
      <c r="Z256" s="39"/>
      <c r="AA256" s="39"/>
      <c r="AB256" s="39"/>
      <c r="AE256" s="4"/>
    </row>
    <row r="257" spans="10:31">
      <c r="J257" s="39"/>
      <c r="Q257" s="39"/>
      <c r="Z257" s="39"/>
      <c r="AA257" s="39"/>
      <c r="AB257" s="39"/>
      <c r="AE257" s="4"/>
    </row>
    <row r="258" spans="10:31">
      <c r="J258" s="39"/>
      <c r="Q258" s="39"/>
      <c r="Z258" s="39"/>
      <c r="AA258" s="39"/>
      <c r="AB258" s="39"/>
      <c r="AE258" s="4"/>
    </row>
    <row r="259" spans="10:31">
      <c r="J259" s="39"/>
      <c r="Q259" s="39"/>
      <c r="Z259" s="39"/>
      <c r="AA259" s="39"/>
      <c r="AB259" s="39"/>
      <c r="AE259" s="4"/>
    </row>
    <row r="260" spans="10:31">
      <c r="J260" s="39"/>
      <c r="Q260" s="39"/>
      <c r="Z260" s="39"/>
      <c r="AA260" s="39"/>
      <c r="AB260" s="39"/>
      <c r="AE260" s="4"/>
    </row>
    <row r="261" spans="10:31">
      <c r="J261" s="39"/>
      <c r="Q261" s="39"/>
      <c r="Z261" s="39"/>
      <c r="AA261" s="39"/>
      <c r="AB261" s="39"/>
      <c r="AE261" s="4"/>
    </row>
    <row r="262" spans="10:31">
      <c r="J262" s="39"/>
      <c r="Q262" s="39"/>
      <c r="Z262" s="39"/>
      <c r="AA262" s="39"/>
      <c r="AB262" s="39"/>
      <c r="AE262" s="4"/>
    </row>
    <row r="263" spans="10:31">
      <c r="J263" s="39"/>
      <c r="Q263" s="39"/>
      <c r="Z263" s="39"/>
      <c r="AA263" s="39"/>
      <c r="AB263" s="39"/>
      <c r="AE263" s="4"/>
    </row>
    <row r="264" spans="10:31">
      <c r="J264" s="39"/>
      <c r="Q264" s="39"/>
      <c r="Z264" s="39"/>
      <c r="AA264" s="39"/>
      <c r="AB264" s="39"/>
      <c r="AE264" s="4"/>
    </row>
    <row r="265" spans="10:31">
      <c r="J265" s="39"/>
      <c r="Q265" s="39"/>
      <c r="Z265" s="39"/>
      <c r="AA265" s="39"/>
      <c r="AB265" s="39"/>
      <c r="AE265" s="4"/>
    </row>
    <row r="266" spans="10:31">
      <c r="J266" s="39"/>
      <c r="Q266" s="39"/>
      <c r="Z266" s="39"/>
      <c r="AA266" s="39"/>
      <c r="AB266" s="39"/>
      <c r="AE266" s="4"/>
    </row>
    <row r="267" spans="10:31">
      <c r="J267" s="39"/>
      <c r="Q267" s="39"/>
      <c r="Z267" s="39"/>
      <c r="AA267" s="39"/>
      <c r="AB267" s="39"/>
      <c r="AE267" s="4"/>
    </row>
    <row r="268" spans="10:31">
      <c r="J268" s="39"/>
      <c r="Q268" s="39"/>
      <c r="Z268" s="39"/>
      <c r="AA268" s="39"/>
      <c r="AB268" s="39"/>
      <c r="AE268" s="4"/>
    </row>
    <row r="269" spans="10:31">
      <c r="J269" s="39"/>
      <c r="Q269" s="39"/>
      <c r="Z269" s="39"/>
      <c r="AA269" s="39"/>
      <c r="AB269" s="39"/>
      <c r="AE269" s="4"/>
    </row>
    <row r="270" spans="10:31">
      <c r="J270" s="39"/>
      <c r="Q270" s="39"/>
      <c r="Z270" s="39"/>
      <c r="AA270" s="39"/>
      <c r="AB270" s="39"/>
      <c r="AE270" s="4"/>
    </row>
    <row r="271" spans="10:31">
      <c r="J271" s="39"/>
      <c r="Q271" s="39"/>
      <c r="Z271" s="39"/>
      <c r="AA271" s="39"/>
      <c r="AB271" s="39"/>
      <c r="AE271" s="4"/>
    </row>
    <row r="272" spans="10:31">
      <c r="J272" s="39"/>
      <c r="Q272" s="39"/>
      <c r="Z272" s="39"/>
      <c r="AA272" s="39"/>
      <c r="AB272" s="39"/>
      <c r="AE272" s="4"/>
    </row>
    <row r="273" spans="10:31">
      <c r="J273" s="39"/>
      <c r="Q273" s="39"/>
      <c r="Z273" s="39"/>
      <c r="AA273" s="39"/>
      <c r="AB273" s="39"/>
      <c r="AE273" s="4"/>
    </row>
    <row r="274" spans="10:31">
      <c r="J274" s="39"/>
      <c r="Q274" s="39"/>
      <c r="Z274" s="39"/>
      <c r="AA274" s="39"/>
      <c r="AB274" s="39"/>
      <c r="AE274" s="4"/>
    </row>
    <row r="275" spans="10:31">
      <c r="J275" s="39"/>
      <c r="Q275" s="39"/>
      <c r="Z275" s="39"/>
      <c r="AA275" s="39"/>
      <c r="AB275" s="39"/>
      <c r="AE275" s="4"/>
    </row>
    <row r="276" spans="10:31">
      <c r="J276" s="39"/>
      <c r="Q276" s="39"/>
      <c r="Z276" s="39"/>
      <c r="AA276" s="39"/>
      <c r="AB276" s="39"/>
      <c r="AE276" s="4"/>
    </row>
    <row r="277" spans="10:31">
      <c r="J277" s="39"/>
      <c r="Q277" s="39"/>
      <c r="Z277" s="39"/>
      <c r="AA277" s="39"/>
      <c r="AB277" s="39"/>
      <c r="AE277" s="4"/>
    </row>
    <row r="278" spans="10:31">
      <c r="J278" s="39"/>
      <c r="Q278" s="39"/>
      <c r="Z278" s="39"/>
      <c r="AA278" s="39"/>
      <c r="AB278" s="39"/>
      <c r="AE278" s="4"/>
    </row>
    <row r="279" spans="10:31">
      <c r="J279" s="39"/>
      <c r="Q279" s="39"/>
      <c r="Z279" s="39"/>
      <c r="AA279" s="39"/>
      <c r="AB279" s="39"/>
      <c r="AE279" s="4"/>
    </row>
    <row r="280" spans="10:31">
      <c r="J280" s="39"/>
      <c r="Q280" s="39"/>
      <c r="Z280" s="39"/>
      <c r="AA280" s="39"/>
      <c r="AB280" s="39"/>
      <c r="AE280" s="4"/>
    </row>
    <row r="281" spans="10:31">
      <c r="J281" s="39"/>
      <c r="Q281" s="39"/>
      <c r="Z281" s="39"/>
      <c r="AA281" s="39"/>
      <c r="AB281" s="39"/>
      <c r="AE281" s="4"/>
    </row>
    <row r="282" spans="10:31">
      <c r="J282" s="39"/>
      <c r="Q282" s="39"/>
      <c r="Z282" s="39"/>
      <c r="AA282" s="39"/>
      <c r="AB282" s="39"/>
      <c r="AE282" s="4"/>
    </row>
    <row r="283" spans="10:31">
      <c r="J283" s="39"/>
      <c r="Q283" s="39"/>
      <c r="Z283" s="39"/>
      <c r="AA283" s="39"/>
      <c r="AB283" s="39"/>
      <c r="AE283" s="4"/>
    </row>
    <row r="284" spans="10:31">
      <c r="J284" s="39"/>
      <c r="Q284" s="39"/>
      <c r="Z284" s="39"/>
      <c r="AA284" s="39"/>
      <c r="AB284" s="39"/>
      <c r="AE284" s="4"/>
    </row>
    <row r="285" spans="10:31">
      <c r="J285" s="39"/>
      <c r="Q285" s="39"/>
      <c r="Z285" s="39"/>
      <c r="AA285" s="39"/>
      <c r="AB285" s="39"/>
      <c r="AE285" s="4"/>
    </row>
    <row r="286" spans="10:31">
      <c r="J286" s="39"/>
      <c r="Q286" s="39"/>
      <c r="Z286" s="39"/>
      <c r="AA286" s="39"/>
      <c r="AB286" s="39"/>
      <c r="AE286" s="4"/>
    </row>
    <row r="287" spans="10:31">
      <c r="J287" s="39"/>
      <c r="Q287" s="39"/>
      <c r="Z287" s="39"/>
      <c r="AA287" s="39"/>
      <c r="AB287" s="39"/>
      <c r="AE287" s="4"/>
    </row>
    <row r="288" spans="10:31">
      <c r="J288" s="39"/>
      <c r="Q288" s="39"/>
      <c r="Z288" s="39"/>
      <c r="AA288" s="39"/>
      <c r="AB288" s="39"/>
      <c r="AE288" s="4"/>
    </row>
    <row r="289" spans="10:31">
      <c r="J289" s="39"/>
      <c r="Q289" s="39"/>
      <c r="Z289" s="39"/>
      <c r="AA289" s="39"/>
      <c r="AB289" s="39"/>
      <c r="AE289" s="4"/>
    </row>
    <row r="290" spans="10:31">
      <c r="J290" s="39"/>
      <c r="Q290" s="39"/>
      <c r="Z290" s="39"/>
      <c r="AA290" s="39"/>
      <c r="AB290" s="39"/>
      <c r="AE290" s="4"/>
    </row>
    <row r="291" spans="10:31">
      <c r="J291" s="39"/>
      <c r="Q291" s="39"/>
      <c r="Z291" s="39"/>
      <c r="AA291" s="39"/>
      <c r="AB291" s="39"/>
      <c r="AE291" s="4"/>
    </row>
    <row r="292" spans="10:31">
      <c r="J292" s="39"/>
      <c r="Q292" s="39"/>
      <c r="Z292" s="39"/>
      <c r="AA292" s="39"/>
      <c r="AB292" s="39"/>
      <c r="AE292" s="4"/>
    </row>
    <row r="293" spans="10:31">
      <c r="J293" s="39"/>
      <c r="Q293" s="39"/>
      <c r="Z293" s="39"/>
      <c r="AA293" s="39"/>
      <c r="AB293" s="39"/>
      <c r="AE293" s="4"/>
    </row>
    <row r="294" spans="10:31">
      <c r="J294" s="39"/>
      <c r="Q294" s="39"/>
      <c r="Z294" s="39"/>
      <c r="AA294" s="39"/>
      <c r="AB294" s="39"/>
      <c r="AE294" s="4"/>
    </row>
    <row r="295" spans="10:31">
      <c r="J295" s="39"/>
      <c r="Q295" s="39"/>
      <c r="Z295" s="39"/>
      <c r="AA295" s="39"/>
      <c r="AB295" s="39"/>
      <c r="AE295" s="4"/>
    </row>
    <row r="296" spans="10:31">
      <c r="J296" s="39"/>
      <c r="Q296" s="39"/>
      <c r="Z296" s="39"/>
      <c r="AA296" s="39"/>
      <c r="AB296" s="39"/>
      <c r="AE296" s="4"/>
    </row>
    <row r="297" spans="10:31">
      <c r="J297" s="39"/>
      <c r="Q297" s="39"/>
      <c r="Z297" s="39"/>
      <c r="AA297" s="39"/>
      <c r="AB297" s="39"/>
      <c r="AE297" s="4"/>
    </row>
    <row r="298" spans="10:31">
      <c r="J298" s="39"/>
      <c r="Q298" s="39"/>
      <c r="Z298" s="39"/>
      <c r="AA298" s="39"/>
      <c r="AB298" s="39"/>
      <c r="AE298" s="4"/>
    </row>
    <row r="299" spans="10:31">
      <c r="J299" s="39"/>
      <c r="Q299" s="39"/>
      <c r="Z299" s="39"/>
      <c r="AA299" s="39"/>
      <c r="AB299" s="39"/>
      <c r="AE299" s="4"/>
    </row>
    <row r="300" spans="10:31">
      <c r="J300" s="39"/>
      <c r="Q300" s="39"/>
      <c r="Z300" s="39"/>
      <c r="AA300" s="39"/>
      <c r="AB300" s="39"/>
      <c r="AE300" s="4"/>
    </row>
    <row r="301" spans="10:31">
      <c r="J301" s="39"/>
      <c r="Q301" s="39"/>
      <c r="Z301" s="39"/>
      <c r="AA301" s="39"/>
      <c r="AB301" s="39"/>
      <c r="AE301" s="4"/>
    </row>
    <row r="302" spans="10:31">
      <c r="J302" s="39"/>
      <c r="Q302" s="39"/>
      <c r="Z302" s="39"/>
      <c r="AA302" s="39"/>
      <c r="AB302" s="39"/>
      <c r="AE302" s="4"/>
    </row>
    <row r="303" spans="10:31">
      <c r="J303" s="39"/>
      <c r="Q303" s="39"/>
      <c r="Z303" s="39"/>
      <c r="AA303" s="39"/>
      <c r="AB303" s="39"/>
      <c r="AE303" s="4"/>
    </row>
    <row r="304" spans="10:31">
      <c r="J304" s="39"/>
      <c r="Q304" s="39"/>
      <c r="Z304" s="39"/>
      <c r="AA304" s="39"/>
      <c r="AB304" s="39"/>
      <c r="AE304" s="4"/>
    </row>
    <row r="305" spans="10:31">
      <c r="J305" s="39"/>
      <c r="Q305" s="39"/>
      <c r="Z305" s="39"/>
      <c r="AA305" s="39"/>
      <c r="AB305" s="39"/>
      <c r="AE305" s="4"/>
    </row>
    <row r="306" spans="10:31">
      <c r="J306" s="39"/>
      <c r="Q306" s="39"/>
      <c r="Z306" s="39"/>
      <c r="AA306" s="39"/>
      <c r="AB306" s="39"/>
      <c r="AE306" s="4"/>
    </row>
    <row r="307" spans="10:31">
      <c r="J307" s="39"/>
      <c r="Q307" s="39"/>
      <c r="Z307" s="39"/>
      <c r="AA307" s="39"/>
      <c r="AB307" s="39"/>
      <c r="AE307" s="4"/>
    </row>
    <row r="308" spans="10:31">
      <c r="J308" s="39"/>
      <c r="Q308" s="39"/>
      <c r="Z308" s="39"/>
      <c r="AA308" s="39"/>
      <c r="AB308" s="39"/>
      <c r="AE308" s="4"/>
    </row>
    <row r="309" spans="10:31">
      <c r="J309" s="39"/>
      <c r="Q309" s="39"/>
      <c r="Z309" s="39"/>
      <c r="AA309" s="39"/>
      <c r="AB309" s="39"/>
      <c r="AE309" s="4"/>
    </row>
    <row r="310" spans="10:31">
      <c r="J310" s="39"/>
      <c r="Q310" s="39"/>
      <c r="Z310" s="39"/>
      <c r="AA310" s="39"/>
      <c r="AB310" s="39"/>
      <c r="AE310" s="4"/>
    </row>
    <row r="311" spans="10:31">
      <c r="J311" s="39"/>
      <c r="Q311" s="39"/>
      <c r="Z311" s="39"/>
      <c r="AA311" s="39"/>
      <c r="AB311" s="39"/>
      <c r="AE311" s="4"/>
    </row>
    <row r="312" spans="10:31">
      <c r="J312" s="39"/>
      <c r="Q312" s="39"/>
      <c r="Z312" s="39"/>
      <c r="AA312" s="39"/>
      <c r="AB312" s="39"/>
      <c r="AE312" s="4"/>
    </row>
    <row r="313" spans="10:31">
      <c r="J313" s="39"/>
      <c r="Q313" s="39"/>
      <c r="Z313" s="39"/>
      <c r="AA313" s="39"/>
      <c r="AB313" s="39"/>
      <c r="AE313" s="4"/>
    </row>
    <row r="314" spans="10:31">
      <c r="J314" s="39"/>
      <c r="Q314" s="39"/>
      <c r="Z314" s="39"/>
      <c r="AA314" s="39"/>
      <c r="AB314" s="39"/>
      <c r="AE314" s="4"/>
    </row>
    <row r="315" spans="10:31">
      <c r="J315" s="39"/>
      <c r="Q315" s="39"/>
      <c r="Z315" s="39"/>
      <c r="AA315" s="39"/>
      <c r="AB315" s="39"/>
      <c r="AE315" s="4"/>
    </row>
    <row r="316" spans="10:31">
      <c r="J316" s="39"/>
      <c r="Q316" s="39"/>
      <c r="Z316" s="39"/>
      <c r="AA316" s="39"/>
      <c r="AB316" s="39"/>
      <c r="AE316" s="4"/>
    </row>
    <row r="317" spans="10:31">
      <c r="J317" s="39"/>
      <c r="Q317" s="39"/>
      <c r="Z317" s="39"/>
      <c r="AA317" s="39"/>
      <c r="AB317" s="39"/>
      <c r="AE317" s="4"/>
    </row>
    <row r="318" spans="10:31">
      <c r="J318" s="39"/>
      <c r="Q318" s="39"/>
      <c r="Z318" s="39"/>
      <c r="AA318" s="39"/>
      <c r="AB318" s="39"/>
      <c r="AE318" s="4"/>
    </row>
    <row r="319" spans="10:31">
      <c r="J319" s="39"/>
      <c r="Q319" s="39"/>
      <c r="Z319" s="39"/>
      <c r="AA319" s="39"/>
      <c r="AB319" s="39"/>
      <c r="AE319" s="4"/>
    </row>
    <row r="320" spans="10:31">
      <c r="J320" s="39"/>
      <c r="Q320" s="39"/>
      <c r="Z320" s="39"/>
      <c r="AA320" s="39"/>
      <c r="AB320" s="39"/>
      <c r="AE320" s="4"/>
    </row>
    <row r="321" spans="10:31">
      <c r="J321" s="39"/>
      <c r="Q321" s="39"/>
      <c r="Z321" s="39"/>
      <c r="AA321" s="39"/>
      <c r="AB321" s="39"/>
      <c r="AE321" s="4"/>
    </row>
    <row r="322" spans="10:31">
      <c r="J322" s="39"/>
      <c r="Q322" s="39"/>
      <c r="Z322" s="39"/>
      <c r="AA322" s="39"/>
      <c r="AB322" s="39"/>
      <c r="AE322" s="4"/>
    </row>
    <row r="323" spans="10:31">
      <c r="J323" s="39"/>
      <c r="Q323" s="39"/>
      <c r="Z323" s="39"/>
      <c r="AA323" s="39"/>
      <c r="AB323" s="39"/>
      <c r="AE323" s="4"/>
    </row>
    <row r="324" spans="10:31">
      <c r="J324" s="39"/>
      <c r="Q324" s="39"/>
      <c r="Z324" s="39"/>
      <c r="AA324" s="39"/>
      <c r="AB324" s="39"/>
      <c r="AE324" s="4"/>
    </row>
    <row r="325" spans="10:31">
      <c r="J325" s="39"/>
      <c r="Q325" s="39"/>
      <c r="Z325" s="39"/>
      <c r="AA325" s="39"/>
      <c r="AB325" s="39"/>
      <c r="AE325" s="4"/>
    </row>
    <row r="326" spans="10:31">
      <c r="J326" s="39"/>
      <c r="Q326" s="39"/>
      <c r="Z326" s="39"/>
      <c r="AA326" s="39"/>
      <c r="AB326" s="39"/>
      <c r="AE326" s="4"/>
    </row>
    <row r="327" spans="10:31">
      <c r="J327" s="39"/>
      <c r="Q327" s="39"/>
      <c r="Z327" s="39"/>
      <c r="AA327" s="39"/>
      <c r="AB327" s="39"/>
      <c r="AE327" s="4"/>
    </row>
    <row r="328" spans="10:31">
      <c r="J328" s="39"/>
      <c r="Q328" s="39"/>
      <c r="Z328" s="39"/>
      <c r="AA328" s="39"/>
      <c r="AB328" s="39"/>
      <c r="AE328" s="4"/>
    </row>
    <row r="329" spans="10:31">
      <c r="J329" s="39"/>
      <c r="Q329" s="39"/>
      <c r="Z329" s="39"/>
      <c r="AA329" s="39"/>
      <c r="AB329" s="39"/>
      <c r="AE329" s="4"/>
    </row>
    <row r="330" spans="10:31">
      <c r="J330" s="39"/>
      <c r="Q330" s="39"/>
      <c r="Z330" s="39"/>
      <c r="AA330" s="39"/>
      <c r="AB330" s="39"/>
      <c r="AE330" s="4"/>
    </row>
    <row r="331" spans="10:31">
      <c r="J331" s="39"/>
      <c r="Q331" s="39"/>
      <c r="Z331" s="39"/>
      <c r="AA331" s="39"/>
      <c r="AB331" s="39"/>
      <c r="AE331" s="4"/>
    </row>
    <row r="332" spans="10:31">
      <c r="J332" s="39"/>
      <c r="Q332" s="39"/>
      <c r="Z332" s="39"/>
      <c r="AA332" s="39"/>
      <c r="AB332" s="39"/>
      <c r="AE332" s="4"/>
    </row>
    <row r="333" spans="10:31">
      <c r="J333" s="39"/>
      <c r="Q333" s="39"/>
      <c r="Z333" s="39"/>
      <c r="AA333" s="39"/>
      <c r="AB333" s="39"/>
      <c r="AE333" s="4"/>
    </row>
    <row r="334" spans="10:31">
      <c r="J334" s="39"/>
      <c r="Q334" s="39"/>
      <c r="Z334" s="39"/>
      <c r="AA334" s="39"/>
      <c r="AB334" s="39"/>
      <c r="AE334" s="4"/>
    </row>
    <row r="335" spans="10:31">
      <c r="J335" s="39"/>
      <c r="Q335" s="39"/>
      <c r="Z335" s="39"/>
      <c r="AA335" s="39"/>
      <c r="AB335" s="39"/>
      <c r="AE335" s="4"/>
    </row>
    <row r="336" spans="10:31">
      <c r="J336" s="39"/>
      <c r="Q336" s="39"/>
      <c r="Z336" s="39"/>
      <c r="AA336" s="39"/>
      <c r="AB336" s="39"/>
      <c r="AE336" s="4"/>
    </row>
    <row r="337" spans="10:31">
      <c r="J337" s="39"/>
      <c r="Q337" s="39"/>
      <c r="Z337" s="39"/>
      <c r="AA337" s="39"/>
      <c r="AB337" s="39"/>
      <c r="AE337" s="4"/>
    </row>
    <row r="338" spans="10:31">
      <c r="J338" s="39"/>
      <c r="Q338" s="39"/>
      <c r="Z338" s="39"/>
      <c r="AA338" s="39"/>
      <c r="AB338" s="39"/>
      <c r="AE338" s="4"/>
    </row>
    <row r="339" spans="10:31">
      <c r="J339" s="39"/>
      <c r="Q339" s="39"/>
      <c r="Z339" s="39"/>
      <c r="AA339" s="39"/>
      <c r="AB339" s="39"/>
      <c r="AE339" s="4"/>
    </row>
    <row r="340" spans="10:31">
      <c r="J340" s="39"/>
      <c r="Q340" s="39"/>
      <c r="Z340" s="39"/>
      <c r="AA340" s="39"/>
      <c r="AB340" s="39"/>
      <c r="AE340" s="4"/>
    </row>
    <row r="341" spans="10:31">
      <c r="J341" s="39"/>
      <c r="Q341" s="39"/>
      <c r="Z341" s="39"/>
      <c r="AA341" s="39"/>
      <c r="AB341" s="39"/>
      <c r="AE341" s="4"/>
    </row>
    <row r="342" spans="10:31">
      <c r="J342" s="39"/>
      <c r="Q342" s="39"/>
      <c r="Z342" s="39"/>
      <c r="AA342" s="39"/>
      <c r="AB342" s="39"/>
      <c r="AE342" s="4"/>
    </row>
    <row r="343" spans="10:31">
      <c r="J343" s="39"/>
      <c r="Q343" s="39"/>
      <c r="Z343" s="39"/>
      <c r="AA343" s="39"/>
      <c r="AB343" s="39"/>
      <c r="AE343" s="4"/>
    </row>
    <row r="344" spans="10:31">
      <c r="J344" s="39"/>
      <c r="Q344" s="39"/>
      <c r="Z344" s="39"/>
      <c r="AA344" s="39"/>
      <c r="AB344" s="39"/>
      <c r="AE344" s="4"/>
    </row>
    <row r="345" spans="10:31">
      <c r="J345" s="39"/>
      <c r="Q345" s="39"/>
      <c r="Z345" s="39"/>
      <c r="AA345" s="39"/>
      <c r="AB345" s="39"/>
      <c r="AE345" s="4"/>
    </row>
    <row r="346" spans="10:31">
      <c r="J346" s="39"/>
      <c r="Q346" s="39"/>
      <c r="Z346" s="39"/>
      <c r="AA346" s="39"/>
      <c r="AB346" s="39"/>
      <c r="AE346" s="4"/>
    </row>
    <row r="347" spans="10:31">
      <c r="J347" s="39"/>
      <c r="Q347" s="39"/>
      <c r="Z347" s="39"/>
      <c r="AA347" s="39"/>
      <c r="AB347" s="39"/>
      <c r="AE347" s="4"/>
    </row>
    <row r="348" spans="10:31">
      <c r="J348" s="39"/>
      <c r="Q348" s="39"/>
      <c r="Z348" s="39"/>
      <c r="AA348" s="39"/>
      <c r="AB348" s="39"/>
      <c r="AE348" s="4"/>
    </row>
    <row r="349" spans="10:31">
      <c r="J349" s="39"/>
      <c r="Q349" s="39"/>
      <c r="Z349" s="39"/>
      <c r="AA349" s="39"/>
      <c r="AB349" s="39"/>
      <c r="AE349" s="4"/>
    </row>
    <row r="350" spans="10:31">
      <c r="J350" s="39"/>
      <c r="Q350" s="39"/>
      <c r="Z350" s="39"/>
      <c r="AA350" s="39"/>
      <c r="AB350" s="39"/>
      <c r="AE350" s="4"/>
    </row>
    <row r="351" spans="10:31">
      <c r="J351" s="39"/>
      <c r="Q351" s="39"/>
      <c r="Z351" s="39"/>
      <c r="AA351" s="39"/>
      <c r="AB351" s="39"/>
      <c r="AE351" s="4"/>
    </row>
    <row r="352" spans="10:31">
      <c r="J352" s="39"/>
      <c r="Q352" s="39"/>
      <c r="Z352" s="39"/>
      <c r="AA352" s="39"/>
      <c r="AB352" s="39"/>
      <c r="AE352" s="4"/>
    </row>
    <row r="353" spans="10:31">
      <c r="J353" s="39"/>
      <c r="Q353" s="39"/>
      <c r="Z353" s="39"/>
      <c r="AA353" s="39"/>
      <c r="AB353" s="39"/>
      <c r="AE353" s="4"/>
    </row>
    <row r="354" spans="10:31">
      <c r="J354" s="39"/>
      <c r="Q354" s="39"/>
      <c r="Z354" s="39"/>
      <c r="AA354" s="39"/>
      <c r="AB354" s="39"/>
      <c r="AE354" s="4"/>
    </row>
    <row r="355" spans="10:31">
      <c r="J355" s="39"/>
      <c r="Q355" s="39"/>
      <c r="Z355" s="39"/>
      <c r="AA355" s="39"/>
      <c r="AB355" s="39"/>
      <c r="AE355" s="4"/>
    </row>
    <row r="356" spans="10:31">
      <c r="J356" s="39"/>
      <c r="Q356" s="39"/>
      <c r="Z356" s="39"/>
      <c r="AA356" s="39"/>
      <c r="AB356" s="39"/>
      <c r="AE356" s="4"/>
    </row>
    <row r="357" spans="10:31">
      <c r="J357" s="39"/>
      <c r="Q357" s="39"/>
      <c r="Z357" s="39"/>
      <c r="AA357" s="39"/>
      <c r="AB357" s="39"/>
      <c r="AE357" s="4"/>
    </row>
    <row r="358" spans="10:31">
      <c r="J358" s="39"/>
      <c r="Q358" s="39"/>
      <c r="Z358" s="39"/>
      <c r="AA358" s="39"/>
      <c r="AB358" s="39"/>
      <c r="AE358" s="4"/>
    </row>
    <row r="359" spans="10:31">
      <c r="J359" s="39"/>
      <c r="Q359" s="39"/>
      <c r="Z359" s="39"/>
      <c r="AA359" s="39"/>
      <c r="AB359" s="39"/>
      <c r="AE359" s="4"/>
    </row>
    <row r="360" spans="10:31">
      <c r="J360" s="39"/>
      <c r="Q360" s="39"/>
      <c r="Z360" s="39"/>
      <c r="AA360" s="39"/>
      <c r="AB360" s="39"/>
      <c r="AE360" s="4"/>
    </row>
    <row r="361" spans="10:31">
      <c r="J361" s="39"/>
      <c r="Q361" s="39"/>
      <c r="Z361" s="39"/>
      <c r="AA361" s="39"/>
      <c r="AB361" s="39"/>
      <c r="AE361" s="4"/>
    </row>
    <row r="362" spans="10:31">
      <c r="J362" s="39"/>
      <c r="Q362" s="39"/>
      <c r="Z362" s="39"/>
      <c r="AA362" s="39"/>
      <c r="AB362" s="39"/>
      <c r="AE362" s="4"/>
    </row>
    <row r="363" spans="10:31">
      <c r="J363" s="39"/>
      <c r="Q363" s="39"/>
      <c r="Z363" s="39"/>
      <c r="AA363" s="39"/>
      <c r="AB363" s="39"/>
      <c r="AE363" s="4"/>
    </row>
    <row r="364" spans="10:31">
      <c r="J364" s="39"/>
      <c r="Q364" s="39"/>
      <c r="Z364" s="39"/>
      <c r="AA364" s="39"/>
      <c r="AB364" s="39"/>
      <c r="AE364" s="4"/>
    </row>
    <row r="365" spans="10:31">
      <c r="J365" s="39"/>
      <c r="Q365" s="39"/>
      <c r="Z365" s="39"/>
      <c r="AA365" s="39"/>
      <c r="AB365" s="39"/>
      <c r="AE365" s="4"/>
    </row>
    <row r="366" spans="10:31">
      <c r="J366" s="39"/>
      <c r="Q366" s="39"/>
      <c r="Z366" s="39"/>
      <c r="AA366" s="39"/>
      <c r="AB366" s="39"/>
      <c r="AE366" s="4"/>
    </row>
    <row r="367" spans="10:31">
      <c r="J367" s="39"/>
      <c r="Q367" s="39"/>
      <c r="Z367" s="39"/>
      <c r="AA367" s="39"/>
      <c r="AB367" s="39"/>
      <c r="AE367" s="4"/>
    </row>
    <row r="368" spans="10:31">
      <c r="J368" s="39"/>
      <c r="Q368" s="39"/>
      <c r="Z368" s="39"/>
      <c r="AA368" s="39"/>
      <c r="AB368" s="39"/>
      <c r="AE368" s="4"/>
    </row>
    <row r="369" spans="10:31">
      <c r="J369" s="39"/>
      <c r="Q369" s="39"/>
      <c r="Z369" s="39"/>
      <c r="AA369" s="39"/>
      <c r="AB369" s="39"/>
      <c r="AE369" s="4"/>
    </row>
    <row r="370" spans="10:31">
      <c r="J370" s="39"/>
      <c r="Q370" s="39"/>
      <c r="Z370" s="39"/>
      <c r="AA370" s="39"/>
      <c r="AB370" s="39"/>
      <c r="AE370" s="4"/>
    </row>
    <row r="371" spans="10:31">
      <c r="J371" s="39"/>
      <c r="Q371" s="39"/>
      <c r="Z371" s="39"/>
      <c r="AA371" s="39"/>
      <c r="AB371" s="39"/>
      <c r="AE371" s="4"/>
    </row>
    <row r="372" spans="10:31">
      <c r="J372" s="39"/>
      <c r="Q372" s="39"/>
      <c r="Z372" s="39"/>
      <c r="AA372" s="39"/>
      <c r="AB372" s="39"/>
      <c r="AE372" s="4"/>
    </row>
    <row r="373" spans="10:31">
      <c r="J373" s="39"/>
      <c r="Q373" s="39"/>
      <c r="Z373" s="39"/>
      <c r="AA373" s="39"/>
      <c r="AB373" s="39"/>
      <c r="AE373" s="4"/>
    </row>
    <row r="374" spans="10:31">
      <c r="J374" s="39"/>
      <c r="Q374" s="39"/>
      <c r="Z374" s="39"/>
      <c r="AA374" s="39"/>
      <c r="AB374" s="39"/>
      <c r="AE374" s="4"/>
    </row>
    <row r="375" spans="10:31">
      <c r="J375" s="39"/>
      <c r="Q375" s="39"/>
      <c r="Z375" s="39"/>
      <c r="AA375" s="39"/>
      <c r="AB375" s="39"/>
      <c r="AE375" s="4"/>
    </row>
    <row r="376" spans="10:31">
      <c r="J376" s="39"/>
      <c r="Q376" s="39"/>
      <c r="Z376" s="39"/>
      <c r="AA376" s="39"/>
      <c r="AB376" s="39"/>
      <c r="AE376" s="4"/>
    </row>
    <row r="377" spans="10:31">
      <c r="J377" s="39"/>
      <c r="Q377" s="39"/>
      <c r="Z377" s="39"/>
      <c r="AA377" s="39"/>
      <c r="AB377" s="39"/>
      <c r="AE377" s="4"/>
    </row>
    <row r="378" spans="10:31">
      <c r="J378" s="39"/>
      <c r="Q378" s="39"/>
      <c r="Z378" s="39"/>
      <c r="AA378" s="39"/>
      <c r="AB378" s="39"/>
      <c r="AE378" s="4"/>
    </row>
    <row r="379" spans="10:31">
      <c r="J379" s="39"/>
      <c r="Q379" s="39"/>
      <c r="Z379" s="39"/>
      <c r="AA379" s="39"/>
      <c r="AB379" s="39"/>
      <c r="AE379" s="4"/>
    </row>
    <row r="380" spans="10:31">
      <c r="J380" s="39"/>
      <c r="Q380" s="39"/>
      <c r="Z380" s="39"/>
      <c r="AA380" s="39"/>
      <c r="AB380" s="39"/>
      <c r="AE380" s="4"/>
    </row>
    <row r="381" spans="10:31">
      <c r="J381" s="39"/>
      <c r="Q381" s="39"/>
      <c r="Z381" s="39"/>
      <c r="AA381" s="39"/>
      <c r="AB381" s="39"/>
      <c r="AE381" s="4"/>
    </row>
    <row r="382" spans="10:31">
      <c r="J382" s="39"/>
      <c r="Q382" s="39"/>
      <c r="Z382" s="39"/>
      <c r="AA382" s="39"/>
      <c r="AB382" s="39"/>
      <c r="AE382" s="4"/>
    </row>
    <row r="383" spans="10:31">
      <c r="J383" s="39"/>
      <c r="Q383" s="39"/>
      <c r="Z383" s="39"/>
      <c r="AA383" s="39"/>
      <c r="AB383" s="39"/>
      <c r="AE383" s="4"/>
    </row>
    <row r="384" spans="10:31">
      <c r="J384" s="39"/>
      <c r="Q384" s="39"/>
      <c r="Z384" s="39"/>
      <c r="AA384" s="39"/>
      <c r="AB384" s="39"/>
      <c r="AE384" s="4"/>
    </row>
    <row r="385" spans="10:31">
      <c r="J385" s="39"/>
      <c r="Q385" s="39"/>
      <c r="Z385" s="39"/>
      <c r="AA385" s="39"/>
      <c r="AB385" s="39"/>
      <c r="AE385" s="4"/>
    </row>
    <row r="386" spans="10:31">
      <c r="J386" s="39"/>
      <c r="Q386" s="39"/>
      <c r="Z386" s="39"/>
      <c r="AA386" s="39"/>
      <c r="AB386" s="39"/>
      <c r="AE386" s="4"/>
    </row>
    <row r="387" spans="10:31">
      <c r="J387" s="39"/>
      <c r="Q387" s="39"/>
      <c r="Z387" s="39"/>
      <c r="AA387" s="39"/>
      <c r="AB387" s="39"/>
      <c r="AE387" s="4"/>
    </row>
    <row r="388" spans="10:31">
      <c r="J388" s="39"/>
      <c r="Q388" s="39"/>
      <c r="Z388" s="39"/>
      <c r="AA388" s="39"/>
      <c r="AB388" s="39"/>
      <c r="AE388" s="4"/>
    </row>
    <row r="389" spans="10:31">
      <c r="J389" s="39"/>
      <c r="Q389" s="39"/>
      <c r="Z389" s="39"/>
      <c r="AA389" s="39"/>
      <c r="AB389" s="39"/>
      <c r="AE389" s="4"/>
    </row>
    <row r="390" spans="10:31">
      <c r="J390" s="39"/>
      <c r="Q390" s="39"/>
      <c r="Z390" s="39"/>
      <c r="AA390" s="39"/>
      <c r="AB390" s="39"/>
      <c r="AE390" s="4"/>
    </row>
    <row r="391" spans="10:31">
      <c r="J391" s="39"/>
      <c r="Q391" s="39"/>
      <c r="Z391" s="39"/>
      <c r="AA391" s="39"/>
      <c r="AB391" s="39"/>
      <c r="AE391" s="4"/>
    </row>
    <row r="392" spans="10:31">
      <c r="J392" s="39"/>
      <c r="Q392" s="39"/>
      <c r="Z392" s="39"/>
      <c r="AA392" s="39"/>
      <c r="AB392" s="39"/>
      <c r="AE392" s="4"/>
    </row>
    <row r="393" spans="10:31">
      <c r="J393" s="39"/>
      <c r="Q393" s="39"/>
      <c r="Z393" s="39"/>
      <c r="AA393" s="39"/>
      <c r="AB393" s="39"/>
      <c r="AE393" s="4"/>
    </row>
    <row r="394" spans="10:31">
      <c r="J394" s="39"/>
      <c r="Q394" s="39"/>
      <c r="Z394" s="39"/>
      <c r="AA394" s="39"/>
      <c r="AB394" s="39"/>
      <c r="AE394" s="4"/>
    </row>
    <row r="395" spans="10:31">
      <c r="J395" s="39"/>
      <c r="Q395" s="39"/>
      <c r="Z395" s="39"/>
      <c r="AA395" s="39"/>
      <c r="AB395" s="39"/>
      <c r="AE395" s="4"/>
    </row>
    <row r="396" spans="10:31">
      <c r="J396" s="39"/>
      <c r="Q396" s="39"/>
      <c r="Z396" s="39"/>
      <c r="AA396" s="39"/>
      <c r="AB396" s="39"/>
      <c r="AE396" s="4"/>
    </row>
    <row r="397" spans="10:31">
      <c r="J397" s="39"/>
      <c r="Q397" s="39"/>
      <c r="Z397" s="39"/>
      <c r="AA397" s="39"/>
      <c r="AB397" s="39"/>
      <c r="AE397" s="4"/>
    </row>
    <row r="398" spans="10:31">
      <c r="J398" s="39"/>
      <c r="Q398" s="39"/>
      <c r="Z398" s="39"/>
      <c r="AA398" s="39"/>
      <c r="AB398" s="39"/>
      <c r="AE398" s="4"/>
    </row>
    <row r="399" spans="10:31">
      <c r="J399" s="39"/>
      <c r="Q399" s="39"/>
      <c r="Z399" s="39"/>
      <c r="AA399" s="39"/>
      <c r="AB399" s="39"/>
      <c r="AE399" s="4"/>
    </row>
    <row r="400" spans="10:31">
      <c r="J400" s="39"/>
      <c r="Q400" s="39"/>
      <c r="Z400" s="39"/>
      <c r="AA400" s="39"/>
      <c r="AB400" s="39"/>
      <c r="AE400" s="4"/>
    </row>
    <row r="401" spans="10:31">
      <c r="J401" s="39"/>
      <c r="Q401" s="39"/>
      <c r="Z401" s="39"/>
      <c r="AA401" s="39"/>
      <c r="AB401" s="39"/>
      <c r="AE401" s="4"/>
    </row>
    <row r="402" spans="10:31">
      <c r="J402" s="39"/>
      <c r="Q402" s="39"/>
      <c r="Z402" s="39"/>
      <c r="AA402" s="39"/>
      <c r="AB402" s="39"/>
      <c r="AE402" s="4"/>
    </row>
    <row r="403" spans="10:31">
      <c r="J403" s="39"/>
      <c r="Q403" s="39"/>
      <c r="Z403" s="39"/>
      <c r="AA403" s="39"/>
      <c r="AB403" s="39"/>
      <c r="AE403" s="4"/>
    </row>
    <row r="404" spans="10:31">
      <c r="J404" s="39"/>
      <c r="Q404" s="39"/>
      <c r="Z404" s="39"/>
      <c r="AA404" s="39"/>
      <c r="AB404" s="39"/>
      <c r="AE404" s="4"/>
    </row>
    <row r="405" spans="10:31">
      <c r="J405" s="39"/>
      <c r="Q405" s="39"/>
      <c r="Z405" s="39"/>
      <c r="AA405" s="39"/>
      <c r="AB405" s="39"/>
      <c r="AE405" s="4"/>
    </row>
    <row r="406" spans="10:31">
      <c r="J406" s="39"/>
      <c r="Q406" s="39"/>
      <c r="Z406" s="39"/>
      <c r="AA406" s="39"/>
      <c r="AB406" s="39"/>
      <c r="AE406" s="4"/>
    </row>
    <row r="407" spans="10:31">
      <c r="J407" s="39"/>
      <c r="Q407" s="39"/>
      <c r="Z407" s="39"/>
      <c r="AA407" s="39"/>
      <c r="AB407" s="39"/>
      <c r="AE407" s="4"/>
    </row>
    <row r="408" spans="10:31">
      <c r="J408" s="39"/>
      <c r="Q408" s="39"/>
      <c r="Z408" s="39"/>
      <c r="AA408" s="39"/>
      <c r="AB408" s="39"/>
      <c r="AE408" s="4"/>
    </row>
    <row r="409" spans="10:31">
      <c r="J409" s="39"/>
      <c r="Q409" s="39"/>
      <c r="Z409" s="39"/>
      <c r="AA409" s="39"/>
      <c r="AB409" s="39"/>
      <c r="AE409" s="4"/>
    </row>
    <row r="410" spans="10:31">
      <c r="J410" s="39"/>
      <c r="Q410" s="39"/>
      <c r="Z410" s="39"/>
      <c r="AA410" s="39"/>
      <c r="AB410" s="39"/>
      <c r="AE410" s="4"/>
    </row>
    <row r="411" spans="10:31">
      <c r="J411" s="39"/>
      <c r="Q411" s="39"/>
      <c r="Z411" s="39"/>
      <c r="AA411" s="39"/>
      <c r="AB411" s="39"/>
      <c r="AE411" s="4"/>
    </row>
    <row r="412" spans="10:31">
      <c r="J412" s="39"/>
      <c r="Q412" s="39"/>
      <c r="Z412" s="39"/>
      <c r="AA412" s="39"/>
      <c r="AB412" s="39"/>
      <c r="AE412" s="4"/>
    </row>
    <row r="413" spans="10:31">
      <c r="J413" s="39"/>
      <c r="Q413" s="39"/>
      <c r="Z413" s="39"/>
      <c r="AA413" s="39"/>
      <c r="AB413" s="39"/>
      <c r="AE413" s="4"/>
    </row>
    <row r="414" spans="10:31">
      <c r="J414" s="39"/>
      <c r="Q414" s="39"/>
      <c r="Z414" s="39"/>
      <c r="AA414" s="39"/>
      <c r="AB414" s="39"/>
      <c r="AE414" s="4"/>
    </row>
    <row r="415" spans="10:31">
      <c r="J415" s="39"/>
      <c r="Q415" s="39"/>
      <c r="Z415" s="39"/>
      <c r="AA415" s="39"/>
      <c r="AB415" s="39"/>
      <c r="AE415" s="4"/>
    </row>
    <row r="416" spans="10:31">
      <c r="J416" s="39"/>
      <c r="Q416" s="39"/>
      <c r="Z416" s="39"/>
      <c r="AA416" s="39"/>
      <c r="AB416" s="39"/>
      <c r="AE416" s="4"/>
    </row>
    <row r="417" spans="10:31">
      <c r="J417" s="39"/>
      <c r="Q417" s="39"/>
      <c r="Z417" s="39"/>
      <c r="AA417" s="39"/>
      <c r="AB417" s="39"/>
      <c r="AE417" s="4"/>
    </row>
    <row r="418" spans="10:31">
      <c r="J418" s="39"/>
      <c r="Q418" s="39"/>
      <c r="Z418" s="39"/>
      <c r="AA418" s="39"/>
      <c r="AB418" s="39"/>
      <c r="AE418" s="4"/>
    </row>
    <row r="419" spans="10:31">
      <c r="J419" s="39"/>
      <c r="Q419" s="39"/>
      <c r="Z419" s="39"/>
      <c r="AA419" s="39"/>
      <c r="AB419" s="39"/>
      <c r="AE419" s="4"/>
    </row>
    <row r="420" spans="10:31">
      <c r="J420" s="39"/>
      <c r="Q420" s="39"/>
      <c r="Z420" s="39"/>
      <c r="AA420" s="39"/>
      <c r="AB420" s="39"/>
      <c r="AE420" s="4"/>
    </row>
    <row r="421" spans="10:31">
      <c r="J421" s="39"/>
      <c r="Q421" s="39"/>
      <c r="Z421" s="39"/>
      <c r="AA421" s="39"/>
      <c r="AB421" s="39"/>
      <c r="AE421" s="4"/>
    </row>
    <row r="422" spans="10:31">
      <c r="J422" s="39"/>
      <c r="Q422" s="39"/>
      <c r="Z422" s="39"/>
      <c r="AA422" s="39"/>
      <c r="AB422" s="39"/>
      <c r="AE422" s="4"/>
    </row>
    <row r="423" spans="10:31">
      <c r="J423" s="39"/>
      <c r="Q423" s="39"/>
      <c r="Z423" s="39"/>
      <c r="AA423" s="39"/>
      <c r="AB423" s="39"/>
      <c r="AE423" s="4"/>
    </row>
    <row r="424" spans="10:31">
      <c r="J424" s="39"/>
      <c r="Q424" s="39"/>
      <c r="Z424" s="39"/>
      <c r="AA424" s="39"/>
      <c r="AB424" s="39"/>
      <c r="AE424" s="4"/>
    </row>
    <row r="425" spans="10:31">
      <c r="J425" s="39"/>
      <c r="Q425" s="39"/>
      <c r="Z425" s="39"/>
      <c r="AA425" s="39"/>
      <c r="AB425" s="39"/>
      <c r="AE425" s="4"/>
    </row>
    <row r="426" spans="10:31">
      <c r="J426" s="39"/>
      <c r="Q426" s="39"/>
      <c r="Z426" s="39"/>
      <c r="AA426" s="39"/>
      <c r="AB426" s="39"/>
      <c r="AE426" s="4"/>
    </row>
    <row r="427" spans="10:31">
      <c r="J427" s="39"/>
      <c r="Q427" s="39"/>
      <c r="Z427" s="39"/>
      <c r="AA427" s="39"/>
      <c r="AB427" s="39"/>
      <c r="AE427" s="4"/>
    </row>
    <row r="428" spans="10:31">
      <c r="J428" s="39"/>
      <c r="Q428" s="39"/>
      <c r="Z428" s="39"/>
      <c r="AA428" s="39"/>
      <c r="AB428" s="39"/>
      <c r="AE428" s="4"/>
    </row>
    <row r="429" spans="10:31">
      <c r="J429" s="39"/>
      <c r="Q429" s="39"/>
      <c r="Z429" s="39"/>
      <c r="AA429" s="39"/>
      <c r="AB429" s="39"/>
      <c r="AE429" s="4"/>
    </row>
    <row r="430" spans="10:31">
      <c r="J430" s="39"/>
      <c r="Q430" s="39"/>
      <c r="Z430" s="39"/>
      <c r="AA430" s="39"/>
      <c r="AB430" s="39"/>
      <c r="AE430" s="4"/>
    </row>
    <row r="431" spans="10:31">
      <c r="J431" s="39"/>
      <c r="Q431" s="39"/>
      <c r="Z431" s="39"/>
      <c r="AA431" s="39"/>
      <c r="AB431" s="39"/>
      <c r="AE431" s="4"/>
    </row>
    <row r="432" spans="10:31">
      <c r="J432" s="39"/>
      <c r="Q432" s="39"/>
      <c r="Z432" s="39"/>
      <c r="AA432" s="39"/>
      <c r="AB432" s="39"/>
      <c r="AE432" s="4"/>
    </row>
    <row r="433" spans="10:31">
      <c r="J433" s="39"/>
      <c r="Q433" s="39"/>
      <c r="Z433" s="39"/>
      <c r="AA433" s="39"/>
      <c r="AB433" s="39"/>
      <c r="AE433" s="4"/>
    </row>
    <row r="434" spans="10:31">
      <c r="J434" s="39"/>
      <c r="Q434" s="39"/>
      <c r="Z434" s="39"/>
      <c r="AA434" s="39"/>
      <c r="AB434" s="39"/>
      <c r="AE434" s="4"/>
    </row>
    <row r="435" spans="10:31">
      <c r="J435" s="39"/>
      <c r="Q435" s="39"/>
      <c r="Z435" s="39"/>
      <c r="AA435" s="39"/>
      <c r="AB435" s="39"/>
      <c r="AE435" s="4"/>
    </row>
    <row r="436" spans="10:31">
      <c r="J436" s="39"/>
      <c r="Q436" s="39"/>
      <c r="Z436" s="39"/>
      <c r="AA436" s="39"/>
      <c r="AB436" s="39"/>
      <c r="AE436" s="4"/>
    </row>
    <row r="437" spans="10:31">
      <c r="J437" s="39"/>
      <c r="Q437" s="39"/>
      <c r="Z437" s="39"/>
      <c r="AA437" s="39"/>
      <c r="AB437" s="39"/>
      <c r="AE437" s="4"/>
    </row>
    <row r="438" spans="10:31">
      <c r="J438" s="39"/>
      <c r="Q438" s="39"/>
      <c r="Z438" s="39"/>
      <c r="AA438" s="39"/>
      <c r="AB438" s="39"/>
      <c r="AE438" s="4"/>
    </row>
    <row r="439" spans="10:31">
      <c r="J439" s="39"/>
      <c r="Q439" s="39"/>
      <c r="Z439" s="39"/>
      <c r="AA439" s="39"/>
      <c r="AB439" s="39"/>
      <c r="AE439" s="4"/>
    </row>
    <row r="440" spans="10:31">
      <c r="J440" s="39"/>
      <c r="Q440" s="39"/>
      <c r="Z440" s="39"/>
      <c r="AA440" s="39"/>
      <c r="AB440" s="39"/>
      <c r="AE440" s="4"/>
    </row>
    <row r="441" spans="10:31">
      <c r="J441" s="39"/>
      <c r="Q441" s="39"/>
      <c r="Z441" s="39"/>
      <c r="AA441" s="39"/>
      <c r="AB441" s="39"/>
      <c r="AE441" s="4"/>
    </row>
    <row r="442" spans="10:31">
      <c r="J442" s="39"/>
      <c r="Q442" s="39"/>
      <c r="Z442" s="39"/>
      <c r="AA442" s="39"/>
      <c r="AB442" s="39"/>
      <c r="AE442" s="4"/>
    </row>
    <row r="443" spans="10:31">
      <c r="J443" s="39"/>
      <c r="Q443" s="39"/>
      <c r="Z443" s="39"/>
      <c r="AA443" s="39"/>
      <c r="AB443" s="39"/>
      <c r="AE443" s="4"/>
    </row>
    <row r="444" spans="10:31">
      <c r="J444" s="39"/>
      <c r="Q444" s="39"/>
      <c r="Z444" s="39"/>
      <c r="AA444" s="39"/>
      <c r="AB444" s="39"/>
      <c r="AE444" s="4"/>
    </row>
    <row r="445" spans="10:31">
      <c r="J445" s="39"/>
      <c r="Q445" s="39"/>
      <c r="Z445" s="39"/>
      <c r="AA445" s="39"/>
      <c r="AB445" s="39"/>
      <c r="AE445" s="4"/>
    </row>
    <row r="446" spans="10:31">
      <c r="J446" s="39"/>
      <c r="Q446" s="39"/>
      <c r="Z446" s="39"/>
      <c r="AA446" s="39"/>
      <c r="AB446" s="39"/>
      <c r="AE446" s="4"/>
    </row>
    <row r="447" spans="10:31">
      <c r="J447" s="39"/>
      <c r="Q447" s="39"/>
      <c r="Z447" s="39"/>
      <c r="AA447" s="39"/>
      <c r="AB447" s="39"/>
      <c r="AE447" s="4"/>
    </row>
    <row r="448" spans="10:31">
      <c r="J448" s="39"/>
      <c r="Q448" s="39"/>
      <c r="Z448" s="39"/>
      <c r="AA448" s="39"/>
      <c r="AB448" s="39"/>
      <c r="AE448" s="4"/>
    </row>
    <row r="449" spans="10:31">
      <c r="J449" s="39"/>
      <c r="Q449" s="39"/>
      <c r="Z449" s="39"/>
      <c r="AA449" s="39"/>
      <c r="AB449" s="39"/>
      <c r="AE449" s="4"/>
    </row>
    <row r="450" spans="10:31">
      <c r="J450" s="39"/>
      <c r="Q450" s="39"/>
      <c r="Z450" s="39"/>
      <c r="AA450" s="39"/>
      <c r="AB450" s="39"/>
      <c r="AE450" s="4"/>
    </row>
    <row r="451" spans="10:31">
      <c r="J451" s="39"/>
      <c r="Q451" s="39"/>
      <c r="Z451" s="39"/>
      <c r="AA451" s="39"/>
      <c r="AB451" s="39"/>
      <c r="AE451" s="4"/>
    </row>
    <row r="452" spans="10:31">
      <c r="J452" s="39"/>
      <c r="Q452" s="39"/>
      <c r="Z452" s="39"/>
      <c r="AA452" s="39"/>
      <c r="AB452" s="39"/>
      <c r="AE452" s="4"/>
    </row>
    <row r="453" spans="10:31">
      <c r="J453" s="39"/>
      <c r="Q453" s="39"/>
      <c r="Z453" s="39"/>
      <c r="AA453" s="39"/>
      <c r="AB453" s="39"/>
      <c r="AE453" s="4"/>
    </row>
    <row r="454" spans="10:31">
      <c r="J454" s="39"/>
      <c r="Q454" s="39"/>
      <c r="Z454" s="39"/>
      <c r="AA454" s="39"/>
      <c r="AB454" s="39"/>
      <c r="AE454" s="4"/>
    </row>
    <row r="455" spans="10:31">
      <c r="J455" s="39"/>
      <c r="Q455" s="39"/>
      <c r="Z455" s="39"/>
      <c r="AA455" s="39"/>
      <c r="AB455" s="39"/>
      <c r="AE455" s="4"/>
    </row>
    <row r="456" spans="10:31">
      <c r="J456" s="39"/>
      <c r="Q456" s="39"/>
      <c r="Z456" s="39"/>
      <c r="AA456" s="39"/>
      <c r="AB456" s="39"/>
      <c r="AE456" s="4"/>
    </row>
    <row r="457" spans="10:31">
      <c r="J457" s="39"/>
      <c r="Q457" s="39"/>
      <c r="Z457" s="39"/>
      <c r="AA457" s="39"/>
      <c r="AB457" s="39"/>
      <c r="AE457" s="4"/>
    </row>
    <row r="458" spans="10:31">
      <c r="J458" s="39"/>
      <c r="Q458" s="39"/>
      <c r="Z458" s="39"/>
      <c r="AA458" s="39"/>
      <c r="AB458" s="39"/>
      <c r="AE458" s="4"/>
    </row>
    <row r="459" spans="10:31">
      <c r="J459" s="39"/>
      <c r="Q459" s="39"/>
      <c r="Z459" s="39"/>
      <c r="AA459" s="39"/>
      <c r="AB459" s="39"/>
      <c r="AE459" s="4"/>
    </row>
    <row r="460" spans="10:31">
      <c r="J460" s="39"/>
      <c r="Q460" s="39"/>
      <c r="Z460" s="39"/>
      <c r="AA460" s="39"/>
      <c r="AB460" s="39"/>
      <c r="AE460" s="4"/>
    </row>
    <row r="461" spans="10:31">
      <c r="J461" s="39"/>
      <c r="Q461" s="39"/>
      <c r="Z461" s="39"/>
      <c r="AA461" s="39"/>
      <c r="AB461" s="39"/>
      <c r="AE461" s="4"/>
    </row>
    <row r="462" spans="10:31">
      <c r="J462" s="39"/>
      <c r="Q462" s="39"/>
      <c r="Z462" s="39"/>
      <c r="AA462" s="39"/>
      <c r="AB462" s="39"/>
      <c r="AE462" s="4"/>
    </row>
    <row r="463" spans="10:31">
      <c r="J463" s="39"/>
      <c r="Q463" s="39"/>
      <c r="Z463" s="39"/>
      <c r="AA463" s="39"/>
      <c r="AB463" s="39"/>
      <c r="AE463" s="4"/>
    </row>
    <row r="464" spans="10:31">
      <c r="J464" s="39"/>
      <c r="Q464" s="39"/>
      <c r="Z464" s="39"/>
      <c r="AA464" s="39"/>
      <c r="AB464" s="39"/>
      <c r="AE464" s="4"/>
    </row>
    <row r="465" spans="10:31">
      <c r="J465" s="39"/>
      <c r="Q465" s="39"/>
      <c r="Z465" s="39"/>
      <c r="AA465" s="39"/>
      <c r="AB465" s="39"/>
      <c r="AE465" s="4"/>
    </row>
    <row r="466" spans="10:31">
      <c r="J466" s="39"/>
      <c r="Q466" s="39"/>
      <c r="Z466" s="39"/>
      <c r="AA466" s="39"/>
      <c r="AB466" s="39"/>
      <c r="AE466" s="4"/>
    </row>
    <row r="467" spans="10:31">
      <c r="J467" s="39"/>
      <c r="Q467" s="39"/>
      <c r="Z467" s="39"/>
      <c r="AA467" s="39"/>
      <c r="AB467" s="39"/>
      <c r="AE467" s="4"/>
    </row>
    <row r="468" spans="10:31">
      <c r="J468" s="39"/>
      <c r="Q468" s="39"/>
      <c r="Z468" s="39"/>
      <c r="AA468" s="39"/>
      <c r="AB468" s="39"/>
      <c r="AE468" s="4"/>
    </row>
    <row r="469" spans="10:31">
      <c r="J469" s="39"/>
      <c r="Q469" s="39"/>
      <c r="Z469" s="39"/>
      <c r="AA469" s="39"/>
      <c r="AB469" s="39"/>
      <c r="AE469" s="4"/>
    </row>
    <row r="470" spans="10:31">
      <c r="J470" s="39"/>
      <c r="Q470" s="39"/>
      <c r="Z470" s="39"/>
      <c r="AA470" s="39"/>
      <c r="AB470" s="39"/>
      <c r="AE470" s="4"/>
    </row>
    <row r="471" spans="10:31">
      <c r="J471" s="39"/>
      <c r="Q471" s="39"/>
      <c r="Z471" s="39"/>
      <c r="AA471" s="39"/>
      <c r="AB471" s="39"/>
      <c r="AE471" s="4"/>
    </row>
    <row r="472" spans="10:31">
      <c r="J472" s="39"/>
      <c r="Q472" s="39"/>
      <c r="Z472" s="39"/>
      <c r="AA472" s="39"/>
      <c r="AB472" s="39"/>
      <c r="AE472" s="4"/>
    </row>
    <row r="473" spans="10:31">
      <c r="J473" s="39"/>
      <c r="Q473" s="39"/>
      <c r="Z473" s="39"/>
      <c r="AA473" s="39"/>
      <c r="AB473" s="39"/>
      <c r="AE473" s="4"/>
    </row>
    <row r="474" spans="10:31">
      <c r="J474" s="39"/>
      <c r="Q474" s="39"/>
      <c r="Z474" s="39"/>
      <c r="AA474" s="39"/>
      <c r="AB474" s="39"/>
      <c r="AE474" s="4"/>
    </row>
    <row r="475" spans="10:31">
      <c r="J475" s="39"/>
      <c r="Q475" s="39"/>
      <c r="Z475" s="39"/>
      <c r="AA475" s="39"/>
      <c r="AB475" s="39"/>
      <c r="AE475" s="4"/>
    </row>
    <row r="476" spans="10:31">
      <c r="J476" s="39"/>
      <c r="Q476" s="39"/>
      <c r="Z476" s="39"/>
      <c r="AA476" s="39"/>
      <c r="AB476" s="39"/>
      <c r="AE476" s="4"/>
    </row>
    <row r="477" spans="10:31">
      <c r="J477" s="39"/>
      <c r="Q477" s="39"/>
      <c r="Z477" s="39"/>
      <c r="AA477" s="39"/>
      <c r="AB477" s="39"/>
      <c r="AE477" s="4"/>
    </row>
    <row r="478" spans="10:31">
      <c r="J478" s="39"/>
      <c r="Q478" s="39"/>
      <c r="Z478" s="39"/>
      <c r="AA478" s="39"/>
      <c r="AB478" s="39"/>
      <c r="AE478" s="4"/>
    </row>
    <row r="479" spans="10:31">
      <c r="J479" s="39"/>
      <c r="Q479" s="39"/>
      <c r="Z479" s="39"/>
      <c r="AA479" s="39"/>
      <c r="AB479" s="39"/>
      <c r="AE479" s="4"/>
    </row>
    <row r="480" spans="10:31">
      <c r="J480" s="39"/>
      <c r="Q480" s="39"/>
      <c r="Z480" s="39"/>
      <c r="AA480" s="39"/>
      <c r="AB480" s="39"/>
      <c r="AE480" s="4"/>
    </row>
    <row r="481" spans="10:31">
      <c r="J481" s="39"/>
      <c r="Q481" s="39"/>
      <c r="Z481" s="39"/>
      <c r="AA481" s="39"/>
      <c r="AB481" s="39"/>
      <c r="AE481" s="4"/>
    </row>
    <row r="482" spans="10:31">
      <c r="J482" s="39"/>
      <c r="Q482" s="39"/>
      <c r="Z482" s="39"/>
      <c r="AA482" s="39"/>
      <c r="AB482" s="39"/>
      <c r="AE482" s="4"/>
    </row>
    <row r="483" spans="10:31">
      <c r="J483" s="39"/>
      <c r="Q483" s="39"/>
      <c r="Z483" s="39"/>
      <c r="AA483" s="39"/>
      <c r="AB483" s="39"/>
      <c r="AE483" s="4"/>
    </row>
    <row r="484" spans="10:31">
      <c r="J484" s="39"/>
      <c r="Q484" s="39"/>
      <c r="Z484" s="39"/>
      <c r="AA484" s="39"/>
      <c r="AB484" s="39"/>
      <c r="AE484" s="4"/>
    </row>
    <row r="485" spans="10:31">
      <c r="J485" s="39"/>
      <c r="Q485" s="39"/>
      <c r="Z485" s="39"/>
      <c r="AA485" s="39"/>
      <c r="AB485" s="39"/>
      <c r="AE485" s="4"/>
    </row>
    <row r="486" spans="10:31">
      <c r="J486" s="39"/>
      <c r="Q486" s="39"/>
      <c r="Z486" s="39"/>
      <c r="AA486" s="39"/>
      <c r="AB486" s="39"/>
      <c r="AE486" s="4"/>
    </row>
    <row r="487" spans="10:31">
      <c r="J487" s="39"/>
      <c r="Q487" s="39"/>
      <c r="Z487" s="39"/>
      <c r="AA487" s="39"/>
      <c r="AB487" s="39"/>
      <c r="AE487" s="4"/>
    </row>
    <row r="488" spans="10:31">
      <c r="J488" s="39"/>
      <c r="Q488" s="39"/>
      <c r="Z488" s="39"/>
      <c r="AA488" s="39"/>
      <c r="AB488" s="39"/>
      <c r="AE488" s="4"/>
    </row>
    <row r="489" spans="10:31">
      <c r="J489" s="39"/>
      <c r="Q489" s="39"/>
      <c r="Z489" s="39"/>
      <c r="AA489" s="39"/>
      <c r="AB489" s="39"/>
      <c r="AE489" s="4"/>
    </row>
    <row r="490" spans="10:31">
      <c r="J490" s="39"/>
      <c r="Q490" s="39"/>
      <c r="Z490" s="39"/>
      <c r="AA490" s="39"/>
      <c r="AB490" s="39"/>
      <c r="AE490" s="4"/>
    </row>
    <row r="491" spans="10:31">
      <c r="J491" s="39"/>
      <c r="Q491" s="39"/>
      <c r="Z491" s="39"/>
      <c r="AA491" s="39"/>
      <c r="AB491" s="39"/>
      <c r="AE491" s="4"/>
    </row>
    <row r="492" spans="10:31">
      <c r="J492" s="39"/>
      <c r="Q492" s="39"/>
      <c r="Z492" s="39"/>
      <c r="AA492" s="39"/>
      <c r="AB492" s="39"/>
      <c r="AE492" s="4"/>
    </row>
    <row r="493" spans="10:31">
      <c r="J493" s="39"/>
      <c r="Q493" s="39"/>
      <c r="Z493" s="39"/>
      <c r="AA493" s="39"/>
      <c r="AB493" s="39"/>
      <c r="AE493" s="4"/>
    </row>
    <row r="494" spans="10:31">
      <c r="J494" s="39"/>
      <c r="Q494" s="39"/>
      <c r="Z494" s="39"/>
      <c r="AA494" s="39"/>
      <c r="AB494" s="39"/>
      <c r="AE494" s="4"/>
    </row>
    <row r="495" spans="10:31">
      <c r="J495" s="39"/>
      <c r="Q495" s="39"/>
      <c r="Z495" s="39"/>
      <c r="AA495" s="39"/>
      <c r="AB495" s="39"/>
      <c r="AE495" s="4"/>
    </row>
    <row r="496" spans="10:31">
      <c r="J496" s="39"/>
      <c r="Q496" s="39"/>
      <c r="Z496" s="39"/>
      <c r="AA496" s="39"/>
      <c r="AB496" s="39"/>
      <c r="AE496" s="4"/>
    </row>
    <row r="497" spans="10:31">
      <c r="J497" s="39"/>
      <c r="Q497" s="39"/>
      <c r="Z497" s="39"/>
      <c r="AA497" s="39"/>
      <c r="AB497" s="39"/>
      <c r="AE497" s="4"/>
    </row>
    <row r="498" spans="10:31">
      <c r="J498" s="39"/>
      <c r="Q498" s="39"/>
      <c r="Z498" s="39"/>
      <c r="AA498" s="39"/>
      <c r="AB498" s="39"/>
      <c r="AE498" s="4"/>
    </row>
    <row r="499" spans="10:31">
      <c r="J499" s="39"/>
      <c r="Q499" s="39"/>
      <c r="Z499" s="39"/>
      <c r="AA499" s="39"/>
      <c r="AB499" s="39"/>
      <c r="AE499" s="4"/>
    </row>
    <row r="500" spans="10:31">
      <c r="J500" s="39"/>
      <c r="Q500" s="39"/>
      <c r="Z500" s="39"/>
      <c r="AA500" s="39"/>
      <c r="AB500" s="39"/>
      <c r="AE500" s="4"/>
    </row>
    <row r="501" spans="10:31">
      <c r="J501" s="39"/>
      <c r="Q501" s="39"/>
      <c r="Z501" s="39"/>
      <c r="AA501" s="39"/>
      <c r="AB501" s="39"/>
      <c r="AE501" s="4"/>
    </row>
    <row r="502" spans="10:31">
      <c r="J502" s="39"/>
      <c r="Q502" s="39"/>
      <c r="Z502" s="39"/>
      <c r="AA502" s="39"/>
      <c r="AB502" s="39"/>
      <c r="AE502" s="4"/>
    </row>
    <row r="503" spans="10:31">
      <c r="J503" s="39"/>
      <c r="Q503" s="39"/>
      <c r="Z503" s="39"/>
      <c r="AA503" s="39"/>
      <c r="AB503" s="39"/>
      <c r="AE503" s="4"/>
    </row>
    <row r="504" spans="10:31">
      <c r="J504" s="39"/>
      <c r="Q504" s="39"/>
      <c r="Z504" s="39"/>
      <c r="AA504" s="39"/>
      <c r="AB504" s="39"/>
      <c r="AE504" s="4"/>
    </row>
    <row r="505" spans="10:31">
      <c r="J505" s="39"/>
      <c r="Q505" s="39"/>
      <c r="Z505" s="39"/>
      <c r="AA505" s="39"/>
      <c r="AB505" s="39"/>
      <c r="AE505" s="4"/>
    </row>
    <row r="506" spans="10:31">
      <c r="J506" s="39"/>
      <c r="Q506" s="39"/>
      <c r="Z506" s="39"/>
      <c r="AA506" s="39"/>
      <c r="AB506" s="39"/>
      <c r="AE506" s="4"/>
    </row>
    <row r="507" spans="10:31">
      <c r="J507" s="39"/>
      <c r="Q507" s="39"/>
      <c r="Z507" s="39"/>
      <c r="AA507" s="39"/>
      <c r="AB507" s="39"/>
      <c r="AE507" s="4"/>
    </row>
    <row r="508" spans="10:31">
      <c r="J508" s="39"/>
      <c r="Q508" s="39"/>
      <c r="Z508" s="39"/>
      <c r="AA508" s="39"/>
      <c r="AB508" s="39"/>
      <c r="AE508" s="4"/>
    </row>
    <row r="509" spans="10:31">
      <c r="J509" s="39"/>
      <c r="Q509" s="39"/>
      <c r="Z509" s="39"/>
      <c r="AA509" s="39"/>
      <c r="AB509" s="39"/>
      <c r="AE509" s="4"/>
    </row>
    <row r="510" spans="10:31">
      <c r="J510" s="39"/>
      <c r="Q510" s="39"/>
      <c r="Z510" s="39"/>
      <c r="AA510" s="39"/>
      <c r="AB510" s="39"/>
      <c r="AE510" s="4"/>
    </row>
    <row r="511" spans="10:31">
      <c r="J511" s="39"/>
      <c r="Q511" s="39"/>
      <c r="Z511" s="39"/>
      <c r="AA511" s="39"/>
      <c r="AB511" s="39"/>
      <c r="AE511" s="4"/>
    </row>
    <row r="512" spans="10:31">
      <c r="J512" s="39"/>
      <c r="Q512" s="39"/>
      <c r="Z512" s="39"/>
      <c r="AA512" s="39"/>
      <c r="AB512" s="39"/>
      <c r="AE512" s="4"/>
    </row>
    <row r="513" spans="10:31">
      <c r="J513" s="39"/>
      <c r="Q513" s="39"/>
      <c r="Z513" s="39"/>
      <c r="AA513" s="39"/>
      <c r="AB513" s="39"/>
      <c r="AE513" s="4"/>
    </row>
    <row r="514" spans="10:31">
      <c r="J514" s="39"/>
      <c r="Q514" s="39"/>
      <c r="Z514" s="39"/>
      <c r="AA514" s="39"/>
      <c r="AB514" s="39"/>
      <c r="AE514" s="4"/>
    </row>
    <row r="515" spans="10:31">
      <c r="J515" s="39"/>
      <c r="Q515" s="39"/>
      <c r="Z515" s="39"/>
      <c r="AA515" s="39"/>
      <c r="AB515" s="39"/>
      <c r="AE515" s="4"/>
    </row>
    <row r="516" spans="10:31">
      <c r="J516" s="39"/>
      <c r="Q516" s="39"/>
      <c r="Z516" s="39"/>
      <c r="AA516" s="39"/>
      <c r="AB516" s="39"/>
      <c r="AE516" s="4"/>
    </row>
    <row r="517" spans="10:31">
      <c r="J517" s="39"/>
      <c r="Q517" s="39"/>
      <c r="Z517" s="39"/>
      <c r="AA517" s="39"/>
      <c r="AB517" s="39"/>
      <c r="AE517" s="4"/>
    </row>
    <row r="518" spans="10:31">
      <c r="J518" s="39"/>
      <c r="Q518" s="39"/>
      <c r="Z518" s="39"/>
      <c r="AA518" s="39"/>
      <c r="AB518" s="39"/>
      <c r="AE518" s="4"/>
    </row>
    <row r="519" spans="10:31">
      <c r="J519" s="39"/>
      <c r="Q519" s="39"/>
      <c r="Z519" s="39"/>
      <c r="AA519" s="39"/>
      <c r="AB519" s="39"/>
      <c r="AE519" s="4"/>
    </row>
    <row r="520" spans="10:31">
      <c r="J520" s="39"/>
      <c r="Q520" s="39"/>
      <c r="Z520" s="39"/>
      <c r="AA520" s="39"/>
      <c r="AB520" s="39"/>
      <c r="AE520" s="4"/>
    </row>
    <row r="521" spans="10:31">
      <c r="J521" s="39"/>
      <c r="Q521" s="39"/>
      <c r="Z521" s="39"/>
      <c r="AA521" s="39"/>
      <c r="AB521" s="39"/>
      <c r="AE521" s="4"/>
    </row>
    <row r="522" spans="10:31">
      <c r="J522" s="39"/>
      <c r="Q522" s="39"/>
      <c r="Z522" s="39"/>
      <c r="AA522" s="39"/>
      <c r="AB522" s="39"/>
      <c r="AE522" s="4"/>
    </row>
    <row r="523" spans="10:31">
      <c r="J523" s="39"/>
      <c r="Q523" s="39"/>
      <c r="Z523" s="39"/>
      <c r="AA523" s="39"/>
      <c r="AB523" s="39"/>
      <c r="AE523" s="4"/>
    </row>
    <row r="524" spans="10:31">
      <c r="J524" s="39"/>
      <c r="Q524" s="39"/>
      <c r="Z524" s="39"/>
      <c r="AA524" s="39"/>
      <c r="AB524" s="39"/>
      <c r="AE524" s="4"/>
    </row>
    <row r="525" spans="10:31">
      <c r="J525" s="39"/>
      <c r="Q525" s="39"/>
      <c r="Z525" s="39"/>
      <c r="AA525" s="39"/>
      <c r="AB525" s="39"/>
      <c r="AE525" s="4"/>
    </row>
    <row r="526" spans="10:31">
      <c r="J526" s="39"/>
      <c r="Q526" s="39"/>
      <c r="Z526" s="39"/>
      <c r="AA526" s="39"/>
      <c r="AB526" s="39"/>
      <c r="AE526" s="4"/>
    </row>
    <row r="527" spans="10:31">
      <c r="J527" s="39"/>
      <c r="Q527" s="39"/>
      <c r="Z527" s="39"/>
      <c r="AA527" s="39"/>
      <c r="AB527" s="39"/>
      <c r="AE527" s="4"/>
    </row>
    <row r="528" spans="10:31">
      <c r="J528" s="39"/>
      <c r="Q528" s="39"/>
      <c r="Z528" s="39"/>
      <c r="AA528" s="39"/>
      <c r="AB528" s="39"/>
      <c r="AE528" s="4"/>
    </row>
    <row r="529" spans="10:31">
      <c r="J529" s="39"/>
      <c r="Q529" s="39"/>
      <c r="Z529" s="39"/>
      <c r="AA529" s="39"/>
      <c r="AB529" s="39"/>
      <c r="AE529" s="4"/>
    </row>
    <row r="530" spans="10:31">
      <c r="J530" s="39"/>
      <c r="Q530" s="39"/>
      <c r="Z530" s="39"/>
      <c r="AA530" s="39"/>
      <c r="AB530" s="39"/>
      <c r="AE530" s="4"/>
    </row>
    <row r="531" spans="10:31">
      <c r="J531" s="39"/>
      <c r="Q531" s="39"/>
      <c r="Z531" s="39"/>
      <c r="AA531" s="39"/>
      <c r="AB531" s="39"/>
      <c r="AE531" s="4"/>
    </row>
    <row r="532" spans="10:31">
      <c r="J532" s="39"/>
      <c r="Q532" s="39"/>
      <c r="Z532" s="39"/>
      <c r="AA532" s="39"/>
      <c r="AB532" s="39"/>
      <c r="AE532" s="4"/>
    </row>
    <row r="533" spans="10:31">
      <c r="J533" s="39"/>
      <c r="Q533" s="39"/>
      <c r="Z533" s="39"/>
      <c r="AA533" s="39"/>
      <c r="AB533" s="39"/>
      <c r="AE533" s="4"/>
    </row>
    <row r="534" spans="10:31">
      <c r="J534" s="39"/>
      <c r="Q534" s="39"/>
      <c r="Z534" s="39"/>
      <c r="AA534" s="39"/>
      <c r="AB534" s="39"/>
      <c r="AE534" s="4"/>
    </row>
    <row r="535" spans="10:31">
      <c r="J535" s="39"/>
      <c r="Q535" s="39"/>
      <c r="Z535" s="39"/>
      <c r="AA535" s="39"/>
      <c r="AB535" s="39"/>
      <c r="AE535" s="4"/>
    </row>
    <row r="536" spans="10:31">
      <c r="J536" s="39"/>
      <c r="Q536" s="39"/>
      <c r="Z536" s="39"/>
      <c r="AA536" s="39"/>
      <c r="AB536" s="39"/>
      <c r="AE536" s="4"/>
    </row>
    <row r="537" spans="10:31">
      <c r="J537" s="39"/>
      <c r="Q537" s="39"/>
      <c r="Z537" s="39"/>
      <c r="AA537" s="39"/>
      <c r="AB537" s="39"/>
      <c r="AE537" s="4"/>
    </row>
    <row r="538" spans="10:31">
      <c r="J538" s="39"/>
      <c r="Q538" s="39"/>
      <c r="Z538" s="39"/>
      <c r="AA538" s="39"/>
      <c r="AB538" s="39"/>
      <c r="AE538" s="4"/>
    </row>
    <row r="539" spans="10:31">
      <c r="J539" s="39"/>
      <c r="Q539" s="39"/>
      <c r="Z539" s="39"/>
      <c r="AA539" s="39"/>
      <c r="AB539" s="39"/>
      <c r="AE539" s="4"/>
    </row>
    <row r="540" spans="10:31">
      <c r="J540" s="39"/>
      <c r="Q540" s="39"/>
      <c r="Z540" s="39"/>
      <c r="AA540" s="39"/>
      <c r="AB540" s="39"/>
      <c r="AE540" s="4"/>
    </row>
    <row r="541" spans="10:31">
      <c r="J541" s="39"/>
      <c r="Q541" s="39"/>
      <c r="Z541" s="39"/>
      <c r="AA541" s="39"/>
      <c r="AB541" s="39"/>
      <c r="AE541" s="4"/>
    </row>
    <row r="542" spans="10:31">
      <c r="J542" s="39"/>
      <c r="Q542" s="39"/>
      <c r="Z542" s="39"/>
      <c r="AA542" s="39"/>
      <c r="AB542" s="39"/>
      <c r="AE542" s="4"/>
    </row>
    <row r="543" spans="10:31">
      <c r="J543" s="39"/>
      <c r="Q543" s="39"/>
      <c r="Z543" s="39"/>
      <c r="AA543" s="39"/>
      <c r="AB543" s="39"/>
      <c r="AE543" s="4"/>
    </row>
    <row r="544" spans="10:31">
      <c r="J544" s="39"/>
      <c r="Q544" s="39"/>
      <c r="Z544" s="39"/>
      <c r="AA544" s="39"/>
      <c r="AB544" s="39"/>
      <c r="AE544" s="4"/>
    </row>
    <row r="545" spans="10:31">
      <c r="J545" s="39"/>
      <c r="Q545" s="39"/>
      <c r="Z545" s="39"/>
      <c r="AA545" s="39"/>
      <c r="AB545" s="39"/>
      <c r="AE545" s="4"/>
    </row>
    <row r="546" spans="10:31">
      <c r="J546" s="39"/>
      <c r="Q546" s="39"/>
      <c r="Z546" s="39"/>
      <c r="AA546" s="39"/>
      <c r="AB546" s="39"/>
      <c r="AE546" s="4"/>
    </row>
    <row r="547" spans="10:31">
      <c r="J547" s="39"/>
      <c r="Q547" s="39"/>
      <c r="Z547" s="39"/>
      <c r="AA547" s="39"/>
      <c r="AB547" s="39"/>
      <c r="AE547" s="4"/>
    </row>
    <row r="548" spans="10:31">
      <c r="J548" s="39"/>
      <c r="Q548" s="39"/>
      <c r="Z548" s="39"/>
      <c r="AA548" s="39"/>
      <c r="AB548" s="39"/>
      <c r="AE548" s="4"/>
    </row>
    <row r="549" spans="10:31">
      <c r="J549" s="39"/>
      <c r="Q549" s="39"/>
      <c r="Z549" s="39"/>
      <c r="AA549" s="39"/>
      <c r="AB549" s="39"/>
      <c r="AE549" s="4"/>
    </row>
    <row r="550" spans="10:31">
      <c r="J550" s="39"/>
      <c r="Q550" s="39"/>
      <c r="Z550" s="39"/>
      <c r="AA550" s="39"/>
      <c r="AB550" s="39"/>
      <c r="AE550" s="4"/>
    </row>
    <row r="551" spans="10:31">
      <c r="J551" s="39"/>
      <c r="Q551" s="39"/>
      <c r="Z551" s="39"/>
      <c r="AA551" s="39"/>
      <c r="AB551" s="39"/>
      <c r="AE551" s="4"/>
    </row>
    <row r="552" spans="10:31">
      <c r="J552" s="39"/>
      <c r="Q552" s="39"/>
      <c r="Z552" s="39"/>
      <c r="AA552" s="39"/>
      <c r="AB552" s="39"/>
      <c r="AE552" s="4"/>
    </row>
    <row r="553" spans="10:31">
      <c r="J553" s="39"/>
      <c r="Q553" s="39"/>
      <c r="Z553" s="39"/>
      <c r="AA553" s="39"/>
      <c r="AB553" s="39"/>
      <c r="AE553" s="4"/>
    </row>
    <row r="554" spans="10:31">
      <c r="J554" s="39"/>
      <c r="Q554" s="39"/>
      <c r="Z554" s="39"/>
      <c r="AA554" s="39"/>
      <c r="AB554" s="39"/>
      <c r="AE554" s="4"/>
    </row>
    <row r="555" spans="10:31">
      <c r="J555" s="39"/>
      <c r="Q555" s="39"/>
      <c r="Z555" s="39"/>
      <c r="AA555" s="39"/>
      <c r="AB555" s="39"/>
      <c r="AE555" s="4"/>
    </row>
    <row r="556" spans="10:31">
      <c r="J556" s="39"/>
      <c r="Q556" s="39"/>
      <c r="Z556" s="39"/>
      <c r="AA556" s="39"/>
      <c r="AB556" s="39"/>
      <c r="AE556" s="4"/>
    </row>
    <row r="557" spans="10:31">
      <c r="J557" s="39"/>
      <c r="Q557" s="39"/>
      <c r="Z557" s="39"/>
      <c r="AA557" s="39"/>
      <c r="AB557" s="39"/>
      <c r="AE557" s="4"/>
    </row>
    <row r="558" spans="10:31">
      <c r="J558" s="39"/>
      <c r="Q558" s="39"/>
      <c r="Z558" s="39"/>
      <c r="AA558" s="39"/>
      <c r="AB558" s="39"/>
      <c r="AE558" s="4"/>
    </row>
    <row r="559" spans="10:31">
      <c r="J559" s="39"/>
      <c r="Q559" s="39"/>
      <c r="Z559" s="39"/>
      <c r="AA559" s="39"/>
      <c r="AB559" s="39"/>
      <c r="AE559" s="4"/>
    </row>
    <row r="560" spans="10:31">
      <c r="J560" s="39"/>
      <c r="Q560" s="39"/>
      <c r="Z560" s="39"/>
      <c r="AA560" s="39"/>
      <c r="AB560" s="39"/>
      <c r="AE560" s="4"/>
    </row>
    <row r="561" spans="10:31">
      <c r="J561" s="39"/>
      <c r="Q561" s="39"/>
      <c r="Z561" s="39"/>
      <c r="AA561" s="39"/>
      <c r="AB561" s="39"/>
      <c r="AE561" s="4"/>
    </row>
    <row r="562" spans="10:31">
      <c r="J562" s="39"/>
      <c r="Q562" s="39"/>
      <c r="Z562" s="39"/>
      <c r="AA562" s="39"/>
      <c r="AB562" s="39"/>
      <c r="AE562" s="4"/>
    </row>
    <row r="563" spans="10:31">
      <c r="J563" s="39"/>
      <c r="Q563" s="39"/>
      <c r="Z563" s="39"/>
      <c r="AA563" s="39"/>
      <c r="AB563" s="39"/>
      <c r="AE563" s="4"/>
    </row>
    <row r="564" spans="10:31">
      <c r="J564" s="39"/>
      <c r="Q564" s="39"/>
      <c r="Z564" s="39"/>
      <c r="AA564" s="39"/>
      <c r="AB564" s="39"/>
      <c r="AE564" s="4"/>
    </row>
    <row r="565" spans="10:31">
      <c r="J565" s="39"/>
      <c r="Q565" s="39"/>
      <c r="Z565" s="39"/>
      <c r="AA565" s="39"/>
      <c r="AB565" s="39"/>
      <c r="AE565" s="4"/>
    </row>
    <row r="566" spans="10:31">
      <c r="J566" s="39"/>
      <c r="Q566" s="39"/>
      <c r="Z566" s="39"/>
      <c r="AA566" s="39"/>
      <c r="AB566" s="39"/>
      <c r="AE566" s="4"/>
    </row>
    <row r="567" spans="10:31">
      <c r="J567" s="39"/>
      <c r="Q567" s="39"/>
      <c r="Z567" s="39"/>
      <c r="AA567" s="39"/>
      <c r="AB567" s="39"/>
      <c r="AE567" s="4"/>
    </row>
    <row r="568" spans="10:31">
      <c r="J568" s="39"/>
      <c r="Q568" s="39"/>
      <c r="Z568" s="39"/>
      <c r="AA568" s="39"/>
      <c r="AB568" s="39"/>
      <c r="AE568" s="4"/>
    </row>
    <row r="569" spans="10:31">
      <c r="J569" s="39"/>
      <c r="Q569" s="39"/>
      <c r="Z569" s="39"/>
      <c r="AA569" s="39"/>
      <c r="AB569" s="39"/>
      <c r="AE569" s="4"/>
    </row>
    <row r="570" spans="10:31">
      <c r="J570" s="39"/>
      <c r="Q570" s="39"/>
      <c r="Z570" s="39"/>
      <c r="AA570" s="39"/>
      <c r="AB570" s="39"/>
      <c r="AE570" s="4"/>
    </row>
    <row r="571" spans="10:31">
      <c r="J571" s="39"/>
      <c r="Q571" s="39"/>
      <c r="Z571" s="39"/>
      <c r="AA571" s="39"/>
      <c r="AB571" s="39"/>
      <c r="AE571" s="4"/>
    </row>
    <row r="572" spans="10:31">
      <c r="J572" s="39"/>
      <c r="Q572" s="39"/>
      <c r="Z572" s="39"/>
      <c r="AA572" s="39"/>
      <c r="AB572" s="39"/>
      <c r="AE572" s="4"/>
    </row>
    <row r="573" spans="10:31">
      <c r="J573" s="39"/>
      <c r="Q573" s="39"/>
      <c r="Z573" s="39"/>
      <c r="AA573" s="39"/>
      <c r="AB573" s="39"/>
      <c r="AE573" s="4"/>
    </row>
    <row r="574" spans="10:31">
      <c r="J574" s="39"/>
      <c r="Q574" s="39"/>
      <c r="Z574" s="39"/>
      <c r="AA574" s="39"/>
      <c r="AB574" s="39"/>
      <c r="AE574" s="4"/>
    </row>
    <row r="575" spans="10:31">
      <c r="J575" s="39"/>
      <c r="Q575" s="39"/>
      <c r="Z575" s="39"/>
      <c r="AA575" s="39"/>
      <c r="AB575" s="39"/>
      <c r="AE575" s="4"/>
    </row>
    <row r="576" spans="10:31">
      <c r="J576" s="39"/>
      <c r="Q576" s="39"/>
      <c r="Z576" s="39"/>
      <c r="AA576" s="39"/>
      <c r="AB576" s="39"/>
      <c r="AE576" s="4"/>
    </row>
    <row r="577" spans="10:31">
      <c r="J577" s="39"/>
      <c r="Q577" s="39"/>
      <c r="Z577" s="39"/>
      <c r="AA577" s="39"/>
      <c r="AB577" s="39"/>
      <c r="AE577" s="4"/>
    </row>
    <row r="578" spans="10:31">
      <c r="J578" s="39"/>
      <c r="Q578" s="39"/>
      <c r="Z578" s="39"/>
      <c r="AA578" s="39"/>
      <c r="AB578" s="39"/>
      <c r="AE578" s="4"/>
    </row>
    <row r="579" spans="10:31">
      <c r="J579" s="39"/>
      <c r="Q579" s="39"/>
      <c r="Z579" s="39"/>
      <c r="AA579" s="39"/>
      <c r="AB579" s="39"/>
      <c r="AE579" s="4"/>
    </row>
    <row r="580" spans="10:31">
      <c r="J580" s="39"/>
      <c r="Q580" s="39"/>
      <c r="Z580" s="39"/>
      <c r="AA580" s="39"/>
      <c r="AB580" s="39"/>
      <c r="AE580" s="4"/>
    </row>
    <row r="581" spans="10:31">
      <c r="J581" s="39"/>
      <c r="Q581" s="39"/>
      <c r="Z581" s="39"/>
      <c r="AA581" s="39"/>
      <c r="AB581" s="39"/>
      <c r="AE581" s="4"/>
    </row>
    <row r="582" spans="10:31">
      <c r="J582" s="39"/>
      <c r="Q582" s="39"/>
      <c r="Z582" s="39"/>
      <c r="AA582" s="39"/>
      <c r="AB582" s="39"/>
      <c r="AE582" s="4"/>
    </row>
    <row r="583" spans="10:31">
      <c r="J583" s="39"/>
      <c r="Q583" s="39"/>
      <c r="Z583" s="39"/>
      <c r="AA583" s="39"/>
      <c r="AB583" s="39"/>
      <c r="AE583" s="4"/>
    </row>
    <row r="584" spans="10:31">
      <c r="J584" s="39"/>
      <c r="Q584" s="39"/>
      <c r="Z584" s="39"/>
      <c r="AA584" s="39"/>
      <c r="AB584" s="39"/>
      <c r="AE584" s="4"/>
    </row>
    <row r="585" spans="10:31">
      <c r="J585" s="39"/>
      <c r="Q585" s="39"/>
      <c r="Z585" s="39"/>
      <c r="AA585" s="39"/>
      <c r="AB585" s="39"/>
      <c r="AE585" s="4"/>
    </row>
    <row r="586" spans="10:31">
      <c r="J586" s="39"/>
      <c r="Q586" s="39"/>
      <c r="Z586" s="39"/>
      <c r="AA586" s="39"/>
      <c r="AB586" s="39"/>
      <c r="AE586" s="4"/>
    </row>
    <row r="587" spans="10:31">
      <c r="J587" s="39"/>
      <c r="Q587" s="39"/>
      <c r="Z587" s="39"/>
      <c r="AA587" s="39"/>
      <c r="AB587" s="39"/>
      <c r="AE587" s="4"/>
    </row>
    <row r="588" spans="10:31">
      <c r="J588" s="39"/>
      <c r="Q588" s="39"/>
      <c r="Z588" s="39"/>
      <c r="AA588" s="39"/>
      <c r="AB588" s="39"/>
      <c r="AE588" s="4"/>
    </row>
    <row r="589" spans="10:31">
      <c r="J589" s="39"/>
      <c r="Q589" s="39"/>
      <c r="Z589" s="39"/>
      <c r="AA589" s="39"/>
      <c r="AB589" s="39"/>
      <c r="AE589" s="4"/>
    </row>
    <row r="590" spans="10:31">
      <c r="J590" s="39"/>
      <c r="Q590" s="39"/>
      <c r="Z590" s="39"/>
      <c r="AA590" s="39"/>
      <c r="AB590" s="39"/>
      <c r="AE590" s="4"/>
    </row>
    <row r="591" spans="10:31">
      <c r="J591" s="39"/>
      <c r="Q591" s="39"/>
      <c r="Z591" s="39"/>
      <c r="AA591" s="39"/>
      <c r="AB591" s="39"/>
      <c r="AE591" s="4"/>
    </row>
    <row r="592" spans="10:31">
      <c r="J592" s="39"/>
      <c r="Q592" s="39"/>
      <c r="Z592" s="39"/>
      <c r="AA592" s="39"/>
      <c r="AB592" s="39"/>
      <c r="AE592" s="4"/>
    </row>
    <row r="593" spans="10:31">
      <c r="J593" s="39"/>
      <c r="Q593" s="39"/>
      <c r="Z593" s="39"/>
      <c r="AA593" s="39"/>
      <c r="AB593" s="39"/>
      <c r="AE593" s="4"/>
    </row>
    <row r="594" spans="10:31">
      <c r="J594" s="39"/>
      <c r="Q594" s="39"/>
      <c r="Z594" s="39"/>
      <c r="AA594" s="39"/>
      <c r="AB594" s="39"/>
      <c r="AE594" s="4"/>
    </row>
    <row r="595" spans="10:31">
      <c r="J595" s="39"/>
      <c r="Q595" s="39"/>
      <c r="Z595" s="39"/>
      <c r="AA595" s="39"/>
      <c r="AB595" s="39"/>
      <c r="AE595" s="4"/>
    </row>
    <row r="596" spans="10:31">
      <c r="J596" s="39"/>
      <c r="Q596" s="39"/>
      <c r="Z596" s="39"/>
      <c r="AA596" s="39"/>
      <c r="AB596" s="39"/>
      <c r="AE596" s="4"/>
    </row>
    <row r="597" spans="10:31">
      <c r="J597" s="39"/>
      <c r="Q597" s="39"/>
      <c r="Z597" s="39"/>
      <c r="AA597" s="39"/>
      <c r="AB597" s="39"/>
      <c r="AE597" s="4"/>
    </row>
    <row r="598" spans="10:31">
      <c r="J598" s="39"/>
      <c r="Q598" s="39"/>
      <c r="Z598" s="39"/>
      <c r="AA598" s="39"/>
      <c r="AB598" s="39"/>
      <c r="AE598" s="4"/>
    </row>
    <row r="599" spans="10:31">
      <c r="J599" s="39"/>
      <c r="Q599" s="39"/>
      <c r="Z599" s="39"/>
      <c r="AA599" s="39"/>
      <c r="AB599" s="39"/>
      <c r="AE599" s="4"/>
    </row>
    <row r="600" spans="10:31">
      <c r="J600" s="39"/>
      <c r="Q600" s="39"/>
      <c r="Z600" s="39"/>
      <c r="AA600" s="39"/>
      <c r="AB600" s="39"/>
      <c r="AE600" s="4"/>
    </row>
    <row r="601" spans="10:31">
      <c r="J601" s="39"/>
      <c r="Q601" s="39"/>
      <c r="Z601" s="39"/>
      <c r="AA601" s="39"/>
      <c r="AB601" s="39"/>
      <c r="AE601" s="4"/>
    </row>
    <row r="602" spans="10:31">
      <c r="J602" s="39"/>
      <c r="Q602" s="39"/>
      <c r="Z602" s="39"/>
      <c r="AA602" s="39"/>
      <c r="AB602" s="39"/>
      <c r="AE602" s="4"/>
    </row>
    <row r="603" spans="10:31">
      <c r="J603" s="39"/>
      <c r="Q603" s="39"/>
      <c r="Z603" s="39"/>
      <c r="AA603" s="39"/>
      <c r="AB603" s="39"/>
      <c r="AE603" s="4"/>
    </row>
    <row r="604" spans="10:31">
      <c r="J604" s="39"/>
      <c r="Q604" s="39"/>
      <c r="Z604" s="39"/>
      <c r="AA604" s="39"/>
      <c r="AB604" s="39"/>
      <c r="AE604" s="4"/>
    </row>
    <row r="605" spans="10:31">
      <c r="J605" s="39"/>
      <c r="Q605" s="39"/>
      <c r="Z605" s="39"/>
      <c r="AA605" s="39"/>
      <c r="AB605" s="39"/>
      <c r="AE605" s="4"/>
    </row>
    <row r="606" spans="10:31">
      <c r="J606" s="39"/>
      <c r="Q606" s="39"/>
      <c r="Z606" s="39"/>
      <c r="AA606" s="39"/>
      <c r="AB606" s="39"/>
      <c r="AE606" s="4"/>
    </row>
    <row r="607" spans="10:31">
      <c r="J607" s="39"/>
      <c r="Q607" s="39"/>
      <c r="Z607" s="39"/>
      <c r="AA607" s="39"/>
      <c r="AB607" s="39"/>
      <c r="AE607" s="4"/>
    </row>
    <row r="608" spans="10:31">
      <c r="J608" s="39"/>
      <c r="Q608" s="39"/>
      <c r="Z608" s="39"/>
      <c r="AA608" s="39"/>
      <c r="AB608" s="39"/>
      <c r="AE608" s="4"/>
    </row>
    <row r="609" spans="10:31">
      <c r="J609" s="39"/>
      <c r="Q609" s="39"/>
      <c r="Z609" s="39"/>
      <c r="AA609" s="39"/>
      <c r="AB609" s="39"/>
      <c r="AE609" s="4"/>
    </row>
    <row r="610" spans="10:31">
      <c r="J610" s="39"/>
      <c r="Q610" s="39"/>
      <c r="Z610" s="39"/>
      <c r="AA610" s="39"/>
      <c r="AB610" s="39"/>
      <c r="AE610" s="4"/>
    </row>
    <row r="611" spans="10:31">
      <c r="J611" s="39"/>
      <c r="Q611" s="39"/>
      <c r="Z611" s="39"/>
      <c r="AA611" s="39"/>
      <c r="AB611" s="39"/>
      <c r="AE611" s="4"/>
    </row>
    <row r="612" spans="10:31">
      <c r="J612" s="39"/>
      <c r="Q612" s="39"/>
      <c r="Z612" s="39"/>
      <c r="AA612" s="39"/>
      <c r="AB612" s="39"/>
      <c r="AE612" s="4"/>
    </row>
    <row r="613" spans="10:31">
      <c r="J613" s="39"/>
      <c r="Q613" s="39"/>
      <c r="Z613" s="39"/>
      <c r="AA613" s="39"/>
      <c r="AB613" s="39"/>
      <c r="AE613" s="4"/>
    </row>
    <row r="614" spans="10:31">
      <c r="J614" s="39"/>
      <c r="Q614" s="39"/>
      <c r="Z614" s="39"/>
      <c r="AA614" s="39"/>
      <c r="AB614" s="39"/>
      <c r="AE614" s="4"/>
    </row>
    <row r="615" spans="10:31">
      <c r="J615" s="39"/>
      <c r="Q615" s="39"/>
      <c r="Z615" s="39"/>
      <c r="AA615" s="39"/>
      <c r="AB615" s="39"/>
      <c r="AE615" s="4"/>
    </row>
    <row r="616" spans="10:31">
      <c r="J616" s="39"/>
      <c r="Q616" s="39"/>
      <c r="Z616" s="39"/>
      <c r="AA616" s="39"/>
      <c r="AB616" s="39"/>
      <c r="AE616" s="4"/>
    </row>
    <row r="617" spans="10:31">
      <c r="J617" s="39"/>
      <c r="Q617" s="39"/>
      <c r="Z617" s="39"/>
      <c r="AA617" s="39"/>
      <c r="AB617" s="39"/>
      <c r="AE617" s="4"/>
    </row>
    <row r="618" spans="10:31">
      <c r="J618" s="39"/>
      <c r="Q618" s="39"/>
      <c r="Z618" s="39"/>
      <c r="AA618" s="39"/>
      <c r="AB618" s="39"/>
      <c r="AE618" s="4"/>
    </row>
    <row r="619" spans="10:31">
      <c r="J619" s="39"/>
      <c r="Q619" s="39"/>
      <c r="Z619" s="39"/>
      <c r="AA619" s="39"/>
      <c r="AB619" s="39"/>
      <c r="AE619" s="4"/>
    </row>
    <row r="620" spans="10:31">
      <c r="J620" s="39"/>
      <c r="Q620" s="39"/>
      <c r="Z620" s="39"/>
      <c r="AA620" s="39"/>
      <c r="AB620" s="39"/>
      <c r="AE620" s="4"/>
    </row>
    <row r="621" spans="10:31">
      <c r="J621" s="39"/>
      <c r="Q621" s="39"/>
      <c r="Z621" s="39"/>
      <c r="AA621" s="39"/>
      <c r="AB621" s="39"/>
      <c r="AE621" s="4"/>
    </row>
    <row r="622" spans="10:31">
      <c r="J622" s="39"/>
      <c r="Q622" s="39"/>
      <c r="Z622" s="39"/>
      <c r="AA622" s="39"/>
      <c r="AB622" s="39"/>
      <c r="AE622" s="4"/>
    </row>
    <row r="623" spans="10:31">
      <c r="J623" s="39"/>
      <c r="Q623" s="39"/>
      <c r="Z623" s="39"/>
      <c r="AA623" s="39"/>
      <c r="AB623" s="39"/>
      <c r="AE623" s="4"/>
    </row>
    <row r="624" spans="10:31">
      <c r="J624" s="39"/>
      <c r="Q624" s="39"/>
      <c r="Z624" s="39"/>
      <c r="AA624" s="39"/>
      <c r="AB624" s="39"/>
      <c r="AE624" s="4"/>
    </row>
    <row r="625" spans="10:31">
      <c r="J625" s="39"/>
      <c r="Q625" s="39"/>
      <c r="Z625" s="39"/>
      <c r="AA625" s="39"/>
      <c r="AB625" s="39"/>
      <c r="AE625" s="4"/>
    </row>
    <row r="626" spans="10:31">
      <c r="J626" s="39"/>
      <c r="Q626" s="39"/>
      <c r="Z626" s="39"/>
      <c r="AA626" s="39"/>
      <c r="AB626" s="39"/>
      <c r="AE626" s="4"/>
    </row>
    <row r="627" spans="10:31">
      <c r="J627" s="39"/>
      <c r="Q627" s="39"/>
      <c r="Z627" s="39"/>
      <c r="AA627" s="39"/>
      <c r="AB627" s="39"/>
      <c r="AE627" s="4"/>
    </row>
    <row r="628" spans="10:31">
      <c r="J628" s="39"/>
      <c r="Q628" s="39"/>
      <c r="Z628" s="39"/>
      <c r="AA628" s="39"/>
      <c r="AB628" s="39"/>
      <c r="AE628" s="4"/>
    </row>
    <row r="629" spans="10:31">
      <c r="J629" s="39"/>
      <c r="Q629" s="39"/>
      <c r="Z629" s="39"/>
      <c r="AA629" s="39"/>
      <c r="AB629" s="39"/>
      <c r="AE629" s="4"/>
    </row>
    <row r="630" spans="10:31">
      <c r="J630" s="39"/>
      <c r="Q630" s="39"/>
      <c r="Z630" s="39"/>
      <c r="AA630" s="39"/>
      <c r="AB630" s="39"/>
      <c r="AE630" s="4"/>
    </row>
    <row r="631" spans="10:31">
      <c r="J631" s="39"/>
      <c r="Q631" s="39"/>
      <c r="Z631" s="39"/>
      <c r="AA631" s="39"/>
      <c r="AB631" s="39"/>
      <c r="AE631" s="4"/>
    </row>
    <row r="632" spans="10:31">
      <c r="J632" s="39"/>
      <c r="Q632" s="39"/>
      <c r="Z632" s="39"/>
      <c r="AA632" s="39"/>
      <c r="AB632" s="39"/>
      <c r="AE632" s="4"/>
    </row>
    <row r="633" spans="10:31">
      <c r="J633" s="39"/>
      <c r="Q633" s="39"/>
      <c r="Z633" s="39"/>
      <c r="AA633" s="39"/>
      <c r="AB633" s="39"/>
      <c r="AE633" s="4"/>
    </row>
    <row r="634" spans="10:31">
      <c r="J634" s="39"/>
      <c r="Q634" s="39"/>
      <c r="Z634" s="39"/>
      <c r="AA634" s="39"/>
      <c r="AB634" s="39"/>
      <c r="AE634" s="4"/>
    </row>
    <row r="635" spans="10:31">
      <c r="J635" s="39"/>
      <c r="Q635" s="39"/>
      <c r="Z635" s="39"/>
      <c r="AA635" s="39"/>
      <c r="AB635" s="39"/>
      <c r="AE635" s="4"/>
    </row>
    <row r="636" spans="10:31">
      <c r="J636" s="39"/>
      <c r="Q636" s="39"/>
      <c r="Z636" s="39"/>
      <c r="AA636" s="39"/>
      <c r="AB636" s="39"/>
      <c r="AE636" s="4"/>
    </row>
    <row r="637" spans="10:31">
      <c r="J637" s="39"/>
      <c r="Q637" s="39"/>
      <c r="Z637" s="39"/>
      <c r="AA637" s="39"/>
      <c r="AB637" s="39"/>
      <c r="AE637" s="4"/>
    </row>
    <row r="638" spans="10:31">
      <c r="J638" s="39"/>
      <c r="Q638" s="39"/>
      <c r="Z638" s="39"/>
      <c r="AA638" s="39"/>
      <c r="AB638" s="39"/>
      <c r="AE638" s="4"/>
    </row>
    <row r="639" spans="10:31">
      <c r="J639" s="39"/>
      <c r="Q639" s="39"/>
      <c r="Z639" s="39"/>
      <c r="AA639" s="39"/>
      <c r="AB639" s="39"/>
      <c r="AE639" s="4"/>
    </row>
    <row r="640" spans="10:31">
      <c r="J640" s="39"/>
      <c r="Q640" s="39"/>
      <c r="Z640" s="39"/>
      <c r="AA640" s="39"/>
      <c r="AB640" s="39"/>
      <c r="AE640" s="4"/>
    </row>
    <row r="641" spans="10:31">
      <c r="J641" s="39"/>
      <c r="Q641" s="39"/>
      <c r="Z641" s="39"/>
      <c r="AA641" s="39"/>
      <c r="AB641" s="39"/>
      <c r="AE641" s="4"/>
    </row>
    <row r="642" spans="10:31">
      <c r="J642" s="39"/>
      <c r="Q642" s="39"/>
      <c r="Z642" s="39"/>
      <c r="AA642" s="39"/>
      <c r="AB642" s="39"/>
      <c r="AE642" s="4"/>
    </row>
    <row r="643" spans="10:31">
      <c r="J643" s="39"/>
      <c r="Q643" s="39"/>
      <c r="Z643" s="39"/>
      <c r="AA643" s="39"/>
      <c r="AB643" s="39"/>
      <c r="AE643" s="4"/>
    </row>
    <row r="644" spans="10:31">
      <c r="J644" s="39"/>
      <c r="Q644" s="39"/>
      <c r="Z644" s="39"/>
      <c r="AA644" s="39"/>
      <c r="AB644" s="39"/>
      <c r="AE644" s="4"/>
    </row>
    <row r="645" spans="10:31">
      <c r="J645" s="39"/>
      <c r="Q645" s="39"/>
      <c r="Z645" s="39"/>
      <c r="AA645" s="39"/>
      <c r="AB645" s="39"/>
      <c r="AE645" s="4"/>
    </row>
    <row r="646" spans="10:31">
      <c r="J646" s="39"/>
      <c r="Q646" s="39"/>
      <c r="Z646" s="39"/>
      <c r="AA646" s="39"/>
      <c r="AB646" s="39"/>
      <c r="AE646" s="4"/>
    </row>
    <row r="647" spans="10:31">
      <c r="J647" s="39"/>
      <c r="Q647" s="39"/>
      <c r="Z647" s="39"/>
      <c r="AA647" s="39"/>
      <c r="AB647" s="39"/>
      <c r="AE647" s="4"/>
    </row>
    <row r="648" spans="10:31">
      <c r="J648" s="39"/>
      <c r="Q648" s="39"/>
      <c r="Z648" s="39"/>
      <c r="AA648" s="39"/>
      <c r="AB648" s="39"/>
      <c r="AE648" s="4"/>
    </row>
    <row r="649" spans="10:31">
      <c r="J649" s="39"/>
      <c r="Q649" s="39"/>
      <c r="Z649" s="39"/>
      <c r="AA649" s="39"/>
      <c r="AB649" s="39"/>
      <c r="AE649" s="4"/>
    </row>
    <row r="650" spans="10:31">
      <c r="J650" s="39"/>
      <c r="Q650" s="39"/>
      <c r="Z650" s="39"/>
      <c r="AA650" s="39"/>
      <c r="AB650" s="39"/>
      <c r="AE650" s="4"/>
    </row>
    <row r="651" spans="10:31">
      <c r="J651" s="39"/>
      <c r="Q651" s="39"/>
      <c r="Z651" s="39"/>
      <c r="AA651" s="39"/>
      <c r="AB651" s="39"/>
      <c r="AE651" s="4"/>
    </row>
    <row r="652" spans="10:31">
      <c r="J652" s="39"/>
      <c r="Q652" s="39"/>
      <c r="Z652" s="39"/>
      <c r="AA652" s="39"/>
      <c r="AB652" s="39"/>
      <c r="AE652" s="4"/>
    </row>
    <row r="653" spans="10:31">
      <c r="J653" s="39"/>
      <c r="Q653" s="39"/>
      <c r="Z653" s="39"/>
      <c r="AA653" s="39"/>
      <c r="AB653" s="39"/>
      <c r="AE653" s="4"/>
    </row>
    <row r="654" spans="10:31">
      <c r="J654" s="39"/>
      <c r="Q654" s="39"/>
      <c r="Z654" s="39"/>
      <c r="AA654" s="39"/>
      <c r="AB654" s="39"/>
      <c r="AE654" s="4"/>
    </row>
    <row r="655" spans="10:31">
      <c r="J655" s="39"/>
      <c r="Q655" s="39"/>
      <c r="Z655" s="39"/>
      <c r="AA655" s="39"/>
      <c r="AB655" s="39"/>
      <c r="AE655" s="4"/>
    </row>
    <row r="656" spans="10:31">
      <c r="J656" s="39"/>
      <c r="Q656" s="39"/>
      <c r="Z656" s="39"/>
      <c r="AA656" s="39"/>
      <c r="AB656" s="39"/>
      <c r="AE656" s="4"/>
    </row>
    <row r="657" spans="10:31">
      <c r="J657" s="39"/>
      <c r="Q657" s="39"/>
      <c r="Z657" s="39"/>
      <c r="AA657" s="39"/>
      <c r="AB657" s="39"/>
      <c r="AE657" s="4"/>
    </row>
    <row r="658" spans="10:31">
      <c r="J658" s="39"/>
      <c r="Q658" s="39"/>
      <c r="Z658" s="39"/>
      <c r="AA658" s="39"/>
      <c r="AB658" s="39"/>
      <c r="AE658" s="4"/>
    </row>
    <row r="659" spans="10:31">
      <c r="J659" s="39"/>
      <c r="Q659" s="39"/>
      <c r="Z659" s="39"/>
      <c r="AA659" s="39"/>
      <c r="AB659" s="39"/>
      <c r="AE659" s="4"/>
    </row>
    <row r="660" spans="10:31">
      <c r="J660" s="39"/>
      <c r="Q660" s="39"/>
      <c r="Z660" s="39"/>
      <c r="AA660" s="39"/>
      <c r="AB660" s="39"/>
      <c r="AE660" s="4"/>
    </row>
    <row r="661" spans="10:31">
      <c r="J661" s="39"/>
      <c r="Q661" s="39"/>
      <c r="Z661" s="39"/>
      <c r="AA661" s="39"/>
      <c r="AB661" s="39"/>
      <c r="AE661" s="4"/>
    </row>
    <row r="662" spans="10:31">
      <c r="J662" s="39"/>
      <c r="Q662" s="39"/>
      <c r="Z662" s="39"/>
      <c r="AA662" s="39"/>
      <c r="AB662" s="39"/>
      <c r="AE662" s="4"/>
    </row>
    <row r="663" spans="10:31">
      <c r="J663" s="39"/>
      <c r="Q663" s="39"/>
      <c r="Z663" s="39"/>
      <c r="AA663" s="39"/>
      <c r="AB663" s="39"/>
      <c r="AE663" s="4"/>
    </row>
    <row r="664" spans="10:31">
      <c r="J664" s="39"/>
      <c r="Q664" s="39"/>
      <c r="Z664" s="39"/>
      <c r="AA664" s="39"/>
      <c r="AB664" s="39"/>
      <c r="AE664" s="4"/>
    </row>
    <row r="665" spans="10:31">
      <c r="J665" s="39"/>
      <c r="Q665" s="39"/>
      <c r="Z665" s="39"/>
      <c r="AA665" s="39"/>
      <c r="AB665" s="39"/>
      <c r="AE665" s="4"/>
    </row>
    <row r="666" spans="10:31">
      <c r="J666" s="39"/>
      <c r="Q666" s="39"/>
      <c r="Z666" s="39"/>
      <c r="AA666" s="39"/>
      <c r="AB666" s="39"/>
      <c r="AE666" s="4"/>
    </row>
    <row r="667" spans="10:31">
      <c r="J667" s="39"/>
      <c r="Q667" s="39"/>
      <c r="Z667" s="39"/>
      <c r="AA667" s="39"/>
      <c r="AB667" s="39"/>
      <c r="AE667" s="4"/>
    </row>
    <row r="668" spans="10:31">
      <c r="J668" s="39"/>
      <c r="Q668" s="39"/>
      <c r="Z668" s="39"/>
      <c r="AA668" s="39"/>
      <c r="AB668" s="39"/>
      <c r="AE668" s="4"/>
    </row>
    <row r="669" spans="10:31">
      <c r="J669" s="39"/>
      <c r="Q669" s="39"/>
      <c r="Z669" s="39"/>
      <c r="AA669" s="39"/>
      <c r="AB669" s="39"/>
      <c r="AE669" s="4"/>
    </row>
    <row r="670" spans="10:31">
      <c r="J670" s="39"/>
      <c r="Q670" s="39"/>
      <c r="Z670" s="39"/>
      <c r="AA670" s="39"/>
      <c r="AB670" s="39"/>
      <c r="AE670" s="4"/>
    </row>
    <row r="671" spans="10:31">
      <c r="J671" s="39"/>
      <c r="Q671" s="39"/>
      <c r="Z671" s="39"/>
      <c r="AA671" s="39"/>
      <c r="AB671" s="39"/>
      <c r="AE671" s="4"/>
    </row>
    <row r="672" spans="10:31">
      <c r="J672" s="39"/>
      <c r="Q672" s="39"/>
      <c r="Z672" s="39"/>
      <c r="AA672" s="39"/>
      <c r="AB672" s="39"/>
      <c r="AE672" s="4"/>
    </row>
    <row r="673" spans="10:31">
      <c r="J673" s="39"/>
      <c r="Q673" s="39"/>
      <c r="Z673" s="39"/>
      <c r="AA673" s="39"/>
      <c r="AB673" s="39"/>
      <c r="AE673" s="4"/>
    </row>
    <row r="674" spans="10:31">
      <c r="J674" s="39"/>
      <c r="Q674" s="39"/>
      <c r="Z674" s="39"/>
      <c r="AA674" s="39"/>
      <c r="AB674" s="39"/>
      <c r="AE674" s="4"/>
    </row>
    <row r="675" spans="10:31">
      <c r="J675" s="39"/>
      <c r="Q675" s="39"/>
      <c r="Z675" s="39"/>
      <c r="AA675" s="39"/>
      <c r="AB675" s="39"/>
      <c r="AE675" s="4"/>
    </row>
    <row r="676" spans="10:31">
      <c r="J676" s="39"/>
      <c r="Q676" s="39"/>
      <c r="Z676" s="39"/>
      <c r="AA676" s="39"/>
      <c r="AB676" s="39"/>
      <c r="AE676" s="4"/>
    </row>
    <row r="677" spans="10:31">
      <c r="J677" s="39"/>
      <c r="Q677" s="39"/>
      <c r="Z677" s="39"/>
      <c r="AA677" s="39"/>
      <c r="AB677" s="39"/>
      <c r="AE677" s="4"/>
    </row>
    <row r="678" spans="10:31">
      <c r="J678" s="39"/>
      <c r="Q678" s="39"/>
      <c r="Z678" s="39"/>
      <c r="AA678" s="39"/>
      <c r="AB678" s="39"/>
      <c r="AE678" s="4"/>
    </row>
    <row r="679" spans="10:31">
      <c r="J679" s="39"/>
      <c r="Q679" s="39"/>
      <c r="Z679" s="39"/>
      <c r="AA679" s="39"/>
      <c r="AB679" s="39"/>
      <c r="AE679" s="4"/>
    </row>
    <row r="680" spans="10:31">
      <c r="J680" s="39"/>
      <c r="Q680" s="39"/>
      <c r="Z680" s="39"/>
      <c r="AA680" s="39"/>
      <c r="AB680" s="39"/>
      <c r="AE680" s="4"/>
    </row>
    <row r="681" spans="10:31">
      <c r="J681" s="39"/>
      <c r="Q681" s="39"/>
      <c r="Z681" s="39"/>
      <c r="AA681" s="39"/>
      <c r="AB681" s="39"/>
      <c r="AE681" s="4"/>
    </row>
    <row r="682" spans="10:31">
      <c r="J682" s="39"/>
      <c r="Q682" s="39"/>
      <c r="Z682" s="39"/>
      <c r="AA682" s="39"/>
      <c r="AB682" s="39"/>
      <c r="AE682" s="4"/>
    </row>
    <row r="683" spans="10:31">
      <c r="J683" s="39"/>
      <c r="Q683" s="39"/>
      <c r="Z683" s="39"/>
      <c r="AA683" s="39"/>
      <c r="AB683" s="39"/>
      <c r="AE683" s="4"/>
    </row>
    <row r="684" spans="10:31">
      <c r="J684" s="39"/>
      <c r="Q684" s="39"/>
      <c r="Z684" s="39"/>
      <c r="AA684" s="39"/>
      <c r="AB684" s="39"/>
      <c r="AE684" s="4"/>
    </row>
    <row r="685" spans="10:31">
      <c r="J685" s="39"/>
      <c r="Q685" s="39"/>
      <c r="Z685" s="39"/>
      <c r="AA685" s="39"/>
      <c r="AB685" s="39"/>
      <c r="AE685" s="4"/>
    </row>
    <row r="686" spans="10:31">
      <c r="J686" s="39"/>
      <c r="Q686" s="39"/>
      <c r="Z686" s="39"/>
      <c r="AA686" s="39"/>
      <c r="AB686" s="39"/>
      <c r="AE686" s="4"/>
    </row>
    <row r="687" spans="10:31">
      <c r="J687" s="39"/>
      <c r="Q687" s="39"/>
      <c r="Z687" s="39"/>
      <c r="AA687" s="39"/>
      <c r="AB687" s="39"/>
      <c r="AE687" s="4"/>
    </row>
    <row r="688" spans="10:31">
      <c r="J688" s="39"/>
      <c r="Q688" s="39"/>
      <c r="Z688" s="39"/>
      <c r="AA688" s="39"/>
      <c r="AB688" s="39"/>
      <c r="AE688" s="4"/>
    </row>
    <row r="689" spans="10:31">
      <c r="J689" s="39"/>
      <c r="Q689" s="39"/>
      <c r="Z689" s="39"/>
      <c r="AA689" s="39"/>
      <c r="AB689" s="39"/>
      <c r="AE689" s="4"/>
    </row>
    <row r="690" spans="10:31">
      <c r="J690" s="39"/>
      <c r="Q690" s="39"/>
      <c r="Z690" s="39"/>
      <c r="AA690" s="39"/>
      <c r="AB690" s="39"/>
      <c r="AE690" s="4"/>
    </row>
    <row r="691" spans="10:31">
      <c r="J691" s="39"/>
      <c r="Q691" s="39"/>
      <c r="Z691" s="39"/>
      <c r="AA691" s="39"/>
      <c r="AB691" s="39"/>
      <c r="AE691" s="4"/>
    </row>
    <row r="692" spans="10:31">
      <c r="J692" s="39"/>
      <c r="Q692" s="39"/>
      <c r="Z692" s="39"/>
      <c r="AA692" s="39"/>
      <c r="AB692" s="39"/>
      <c r="AE692" s="4"/>
    </row>
    <row r="693" spans="10:31">
      <c r="J693" s="39"/>
      <c r="Q693" s="39"/>
      <c r="Z693" s="39"/>
      <c r="AA693" s="39"/>
      <c r="AB693" s="39"/>
      <c r="AE693" s="4"/>
    </row>
    <row r="694" spans="10:31">
      <c r="J694" s="39"/>
      <c r="Q694" s="39"/>
      <c r="Z694" s="39"/>
      <c r="AA694" s="39"/>
      <c r="AB694" s="39"/>
      <c r="AE694" s="4"/>
    </row>
    <row r="695" spans="10:31">
      <c r="J695" s="39"/>
      <c r="Q695" s="39"/>
      <c r="Z695" s="39"/>
      <c r="AA695" s="39"/>
      <c r="AB695" s="39"/>
      <c r="AE695" s="4"/>
    </row>
    <row r="696" spans="10:31">
      <c r="J696" s="39"/>
      <c r="Q696" s="39"/>
      <c r="Z696" s="39"/>
      <c r="AA696" s="39"/>
      <c r="AB696" s="39"/>
      <c r="AE696" s="4"/>
    </row>
    <row r="697" spans="10:31">
      <c r="J697" s="39"/>
      <c r="Q697" s="39"/>
      <c r="Z697" s="39"/>
      <c r="AA697" s="39"/>
      <c r="AB697" s="39"/>
      <c r="AE697" s="4"/>
    </row>
    <row r="698" spans="10:31">
      <c r="J698" s="39"/>
      <c r="Q698" s="39"/>
      <c r="Z698" s="39"/>
      <c r="AA698" s="39"/>
      <c r="AB698" s="39"/>
      <c r="AE698" s="4"/>
    </row>
    <row r="699" spans="10:31">
      <c r="J699" s="39"/>
      <c r="Q699" s="39"/>
      <c r="Z699" s="39"/>
      <c r="AA699" s="39"/>
      <c r="AB699" s="39"/>
      <c r="AE699" s="4"/>
    </row>
    <row r="700" spans="10:31">
      <c r="J700" s="39"/>
      <c r="Q700" s="39"/>
      <c r="Z700" s="39"/>
      <c r="AA700" s="39"/>
      <c r="AB700" s="39"/>
      <c r="AE700" s="4"/>
    </row>
    <row r="701" spans="10:31">
      <c r="J701" s="39"/>
      <c r="Q701" s="39"/>
      <c r="Z701" s="39"/>
      <c r="AA701" s="39"/>
      <c r="AB701" s="39"/>
      <c r="AE701" s="4"/>
    </row>
    <row r="702" spans="10:31">
      <c r="J702" s="39"/>
      <c r="Q702" s="39"/>
      <c r="Z702" s="39"/>
      <c r="AA702" s="39"/>
      <c r="AB702" s="39"/>
      <c r="AE702" s="4"/>
    </row>
    <row r="703" spans="10:31">
      <c r="J703" s="39"/>
      <c r="Q703" s="39"/>
      <c r="Z703" s="39"/>
      <c r="AA703" s="39"/>
      <c r="AB703" s="39"/>
      <c r="AE703" s="4"/>
    </row>
    <row r="704" spans="10:31">
      <c r="J704" s="39"/>
      <c r="Q704" s="39"/>
      <c r="Z704" s="39"/>
      <c r="AA704" s="39"/>
      <c r="AB704" s="39"/>
      <c r="AE704" s="4"/>
    </row>
    <row r="705" spans="10:31">
      <c r="J705" s="39"/>
      <c r="Q705" s="39"/>
      <c r="Z705" s="39"/>
      <c r="AA705" s="39"/>
      <c r="AB705" s="39"/>
      <c r="AE705" s="4"/>
    </row>
    <row r="706" spans="10:31">
      <c r="J706" s="39"/>
      <c r="Q706" s="39"/>
      <c r="Z706" s="39"/>
      <c r="AA706" s="39"/>
      <c r="AB706" s="39"/>
      <c r="AE706" s="4"/>
    </row>
    <row r="707" spans="10:31">
      <c r="J707" s="39"/>
      <c r="Q707" s="39"/>
      <c r="Z707" s="39"/>
      <c r="AA707" s="39"/>
      <c r="AB707" s="39"/>
      <c r="AE707" s="4"/>
    </row>
    <row r="708" spans="10:31">
      <c r="J708" s="39"/>
      <c r="Q708" s="39"/>
      <c r="Z708" s="39"/>
      <c r="AA708" s="39"/>
      <c r="AB708" s="39"/>
      <c r="AE708" s="4"/>
    </row>
    <row r="709" spans="10:31">
      <c r="J709" s="39"/>
      <c r="Q709" s="39"/>
      <c r="Z709" s="39"/>
      <c r="AA709" s="39"/>
      <c r="AB709" s="39"/>
      <c r="AE709" s="4"/>
    </row>
    <row r="710" spans="10:31">
      <c r="J710" s="39"/>
      <c r="Q710" s="39"/>
      <c r="Z710" s="39"/>
      <c r="AA710" s="39"/>
      <c r="AB710" s="39"/>
      <c r="AE710" s="4"/>
    </row>
    <row r="711" spans="10:31">
      <c r="J711" s="39"/>
      <c r="Q711" s="39"/>
      <c r="Z711" s="39"/>
      <c r="AA711" s="39"/>
      <c r="AB711" s="39"/>
      <c r="AE711" s="4"/>
    </row>
    <row r="712" spans="10:31">
      <c r="J712" s="39"/>
      <c r="Q712" s="39"/>
      <c r="Z712" s="39"/>
      <c r="AA712" s="39"/>
      <c r="AB712" s="39"/>
      <c r="AE712" s="4"/>
    </row>
    <row r="713" spans="10:31">
      <c r="J713" s="39"/>
      <c r="Q713" s="39"/>
      <c r="Z713" s="39"/>
      <c r="AA713" s="39"/>
      <c r="AB713" s="39"/>
      <c r="AE713" s="4"/>
    </row>
    <row r="714" spans="10:31">
      <c r="J714" s="39"/>
      <c r="Q714" s="39"/>
      <c r="Z714" s="39"/>
      <c r="AA714" s="39"/>
      <c r="AB714" s="39"/>
      <c r="AE714" s="4"/>
    </row>
    <row r="715" spans="10:31">
      <c r="J715" s="39"/>
      <c r="Q715" s="39"/>
      <c r="Z715" s="39"/>
      <c r="AA715" s="39"/>
      <c r="AB715" s="39"/>
      <c r="AE715" s="4"/>
    </row>
    <row r="716" spans="10:31">
      <c r="J716" s="39"/>
      <c r="Q716" s="39"/>
      <c r="Z716" s="39"/>
      <c r="AA716" s="39"/>
      <c r="AB716" s="39"/>
      <c r="AE716" s="4"/>
    </row>
    <row r="717" spans="10:31">
      <c r="J717" s="39"/>
      <c r="Q717" s="39"/>
      <c r="Z717" s="39"/>
      <c r="AA717" s="39"/>
      <c r="AB717" s="39"/>
      <c r="AE717" s="4"/>
    </row>
    <row r="718" spans="10:31">
      <c r="J718" s="39"/>
      <c r="Q718" s="39"/>
      <c r="Z718" s="39"/>
      <c r="AA718" s="39"/>
      <c r="AB718" s="39"/>
      <c r="AE718" s="4"/>
    </row>
    <row r="719" spans="10:31">
      <c r="J719" s="39"/>
      <c r="Q719" s="39"/>
      <c r="Z719" s="39"/>
      <c r="AA719" s="39"/>
      <c r="AB719" s="39"/>
      <c r="AE719" s="4"/>
    </row>
    <row r="720" spans="10:31">
      <c r="J720" s="39"/>
      <c r="Q720" s="39"/>
      <c r="Z720" s="39"/>
      <c r="AA720" s="39"/>
      <c r="AB720" s="39"/>
      <c r="AE720" s="4"/>
    </row>
    <row r="721" spans="10:31">
      <c r="J721" s="39"/>
      <c r="Q721" s="39"/>
      <c r="Z721" s="39"/>
      <c r="AA721" s="39"/>
      <c r="AB721" s="39"/>
      <c r="AE721" s="4"/>
    </row>
    <row r="722" spans="10:31">
      <c r="J722" s="39"/>
      <c r="Q722" s="39"/>
      <c r="Z722" s="39"/>
      <c r="AA722" s="39"/>
      <c r="AB722" s="39"/>
      <c r="AE722" s="4"/>
    </row>
    <row r="723" spans="10:31">
      <c r="J723" s="39"/>
      <c r="Q723" s="39"/>
      <c r="Z723" s="39"/>
      <c r="AA723" s="39"/>
      <c r="AB723" s="39"/>
      <c r="AE723" s="4"/>
    </row>
    <row r="724" spans="10:31">
      <c r="J724" s="39"/>
      <c r="Q724" s="39"/>
      <c r="Z724" s="39"/>
      <c r="AA724" s="39"/>
      <c r="AB724" s="39"/>
      <c r="AE724" s="4"/>
    </row>
    <row r="725" spans="10:31">
      <c r="J725" s="39"/>
      <c r="Q725" s="39"/>
      <c r="Z725" s="39"/>
      <c r="AA725" s="39"/>
      <c r="AB725" s="39"/>
      <c r="AE725" s="4"/>
    </row>
    <row r="726" spans="10:31">
      <c r="J726" s="39"/>
      <c r="Q726" s="39"/>
      <c r="Z726" s="39"/>
      <c r="AA726" s="39"/>
      <c r="AB726" s="39"/>
      <c r="AE726" s="4"/>
    </row>
    <row r="727" spans="10:31">
      <c r="J727" s="39"/>
      <c r="Q727" s="39"/>
      <c r="Z727" s="39"/>
      <c r="AA727" s="39"/>
      <c r="AB727" s="39"/>
      <c r="AE727" s="4"/>
    </row>
    <row r="728" spans="10:31">
      <c r="J728" s="39"/>
      <c r="Q728" s="39"/>
      <c r="Z728" s="39"/>
      <c r="AA728" s="39"/>
      <c r="AB728" s="39"/>
      <c r="AE728" s="4"/>
    </row>
    <row r="729" spans="10:31">
      <c r="J729" s="39"/>
      <c r="Q729" s="39"/>
      <c r="Z729" s="39"/>
      <c r="AA729" s="39"/>
      <c r="AB729" s="39"/>
      <c r="AE729" s="4"/>
    </row>
    <row r="730" spans="10:31">
      <c r="J730" s="39"/>
      <c r="Q730" s="39"/>
      <c r="Z730" s="39"/>
      <c r="AA730" s="39"/>
      <c r="AB730" s="39"/>
      <c r="AE730" s="4"/>
    </row>
    <row r="731" spans="10:31">
      <c r="J731" s="39"/>
      <c r="Q731" s="39"/>
      <c r="Z731" s="39"/>
      <c r="AA731" s="39"/>
      <c r="AB731" s="39"/>
      <c r="AE731" s="4"/>
    </row>
    <row r="732" spans="10:31">
      <c r="J732" s="39"/>
      <c r="Q732" s="39"/>
      <c r="Z732" s="39"/>
      <c r="AA732" s="39"/>
      <c r="AB732" s="39"/>
      <c r="AE732" s="4"/>
    </row>
    <row r="733" spans="10:31">
      <c r="J733" s="39"/>
      <c r="Q733" s="39"/>
      <c r="Z733" s="39"/>
      <c r="AA733" s="39"/>
      <c r="AB733" s="39"/>
      <c r="AE733" s="4"/>
    </row>
    <row r="734" spans="10:31">
      <c r="J734" s="39"/>
      <c r="Q734" s="39"/>
      <c r="Z734" s="39"/>
      <c r="AA734" s="39"/>
      <c r="AB734" s="39"/>
      <c r="AE734" s="4"/>
    </row>
    <row r="735" spans="10:31">
      <c r="J735" s="39"/>
      <c r="Q735" s="39"/>
      <c r="Z735" s="39"/>
      <c r="AA735" s="39"/>
      <c r="AB735" s="39"/>
      <c r="AE735" s="4"/>
    </row>
    <row r="736" spans="10:31">
      <c r="J736" s="39"/>
      <c r="Q736" s="39"/>
      <c r="Z736" s="39"/>
      <c r="AA736" s="39"/>
      <c r="AB736" s="39"/>
      <c r="AE736" s="4"/>
    </row>
    <row r="737" spans="10:31">
      <c r="J737" s="39"/>
      <c r="Q737" s="39"/>
      <c r="Z737" s="39"/>
      <c r="AA737" s="39"/>
      <c r="AB737" s="39"/>
      <c r="AE737" s="4"/>
    </row>
    <row r="738" spans="10:31">
      <c r="J738" s="39"/>
      <c r="Q738" s="39"/>
      <c r="Z738" s="39"/>
      <c r="AA738" s="39"/>
      <c r="AB738" s="39"/>
      <c r="AE738" s="4"/>
    </row>
    <row r="739" spans="10:31">
      <c r="J739" s="39"/>
      <c r="Q739" s="39"/>
      <c r="Z739" s="39"/>
      <c r="AA739" s="39"/>
      <c r="AB739" s="39"/>
      <c r="AE739" s="4"/>
    </row>
    <row r="740" spans="10:31">
      <c r="J740" s="39"/>
      <c r="Q740" s="39"/>
      <c r="Z740" s="39"/>
      <c r="AA740" s="39"/>
      <c r="AB740" s="39"/>
      <c r="AE740" s="4"/>
    </row>
    <row r="741" spans="10:31">
      <c r="J741" s="39"/>
      <c r="Q741" s="39"/>
      <c r="Z741" s="39"/>
      <c r="AA741" s="39"/>
      <c r="AB741" s="39"/>
      <c r="AE741" s="4"/>
    </row>
    <row r="742" spans="10:31">
      <c r="J742" s="39"/>
      <c r="Q742" s="39"/>
      <c r="Z742" s="39"/>
      <c r="AA742" s="39"/>
      <c r="AB742" s="39"/>
      <c r="AE742" s="4"/>
    </row>
    <row r="743" spans="10:31">
      <c r="J743" s="39"/>
      <c r="Q743" s="39"/>
      <c r="Z743" s="39"/>
      <c r="AA743" s="39"/>
      <c r="AB743" s="39"/>
      <c r="AE743" s="4"/>
    </row>
    <row r="744" spans="10:31">
      <c r="J744" s="39"/>
      <c r="Q744" s="39"/>
      <c r="Z744" s="39"/>
      <c r="AA744" s="39"/>
      <c r="AB744" s="39"/>
      <c r="AE744" s="4"/>
    </row>
    <row r="745" spans="10:31">
      <c r="J745" s="39"/>
      <c r="Q745" s="39"/>
      <c r="Z745" s="39"/>
      <c r="AA745" s="39"/>
      <c r="AB745" s="39"/>
      <c r="AE745" s="4"/>
    </row>
    <row r="746" spans="10:31">
      <c r="J746" s="39"/>
      <c r="Q746" s="39"/>
      <c r="Z746" s="39"/>
      <c r="AA746" s="39"/>
      <c r="AB746" s="39"/>
      <c r="AE746" s="4"/>
    </row>
    <row r="747" spans="10:31">
      <c r="J747" s="39"/>
      <c r="Q747" s="39"/>
      <c r="Z747" s="39"/>
      <c r="AA747" s="39"/>
      <c r="AB747" s="39"/>
      <c r="AE747" s="4"/>
    </row>
    <row r="748" spans="10:31">
      <c r="J748" s="39"/>
      <c r="Q748" s="39"/>
      <c r="Z748" s="39"/>
      <c r="AA748" s="39"/>
      <c r="AB748" s="39"/>
      <c r="AE748" s="4"/>
    </row>
    <row r="749" spans="10:31">
      <c r="J749" s="39"/>
      <c r="Q749" s="39"/>
      <c r="Z749" s="39"/>
      <c r="AA749" s="39"/>
      <c r="AB749" s="39"/>
      <c r="AE749" s="4"/>
    </row>
    <row r="750" spans="10:31">
      <c r="J750" s="39"/>
      <c r="Q750" s="39"/>
      <c r="Z750" s="39"/>
      <c r="AA750" s="39"/>
      <c r="AB750" s="39"/>
      <c r="AE750" s="4"/>
    </row>
    <row r="751" spans="10:31">
      <c r="J751" s="39"/>
      <c r="Q751" s="39"/>
      <c r="Z751" s="39"/>
      <c r="AA751" s="39"/>
      <c r="AB751" s="39"/>
      <c r="AE751" s="4"/>
    </row>
    <row r="752" spans="10:31">
      <c r="J752" s="39"/>
      <c r="Q752" s="39"/>
      <c r="Z752" s="39"/>
      <c r="AA752" s="39"/>
      <c r="AB752" s="39"/>
      <c r="AE752" s="4"/>
    </row>
    <row r="753" spans="10:31">
      <c r="J753" s="39"/>
      <c r="Q753" s="39"/>
      <c r="Z753" s="39"/>
      <c r="AA753" s="39"/>
      <c r="AB753" s="39"/>
      <c r="AE753" s="4"/>
    </row>
    <row r="754" spans="10:31">
      <c r="J754" s="39"/>
      <c r="Q754" s="39"/>
      <c r="Z754" s="39"/>
      <c r="AA754" s="39"/>
      <c r="AB754" s="39"/>
      <c r="AE754" s="4"/>
    </row>
    <row r="755" spans="10:31">
      <c r="J755" s="39"/>
      <c r="Q755" s="39"/>
      <c r="Z755" s="39"/>
      <c r="AA755" s="39"/>
      <c r="AB755" s="39"/>
      <c r="AE755" s="4"/>
    </row>
    <row r="756" spans="10:31">
      <c r="J756" s="39"/>
      <c r="Q756" s="39"/>
      <c r="Z756" s="39"/>
      <c r="AA756" s="39"/>
      <c r="AB756" s="39"/>
      <c r="AE756" s="4"/>
    </row>
    <row r="757" spans="10:31">
      <c r="J757" s="39"/>
      <c r="Q757" s="39"/>
      <c r="Z757" s="39"/>
      <c r="AA757" s="39"/>
      <c r="AB757" s="39"/>
      <c r="AE757" s="4"/>
    </row>
    <row r="758" spans="10:31">
      <c r="J758" s="39"/>
      <c r="Q758" s="39"/>
      <c r="Z758" s="39"/>
      <c r="AA758" s="39"/>
      <c r="AB758" s="39"/>
      <c r="AE758" s="4"/>
    </row>
    <row r="759" spans="10:31">
      <c r="J759" s="39"/>
      <c r="Q759" s="39"/>
      <c r="Z759" s="39"/>
      <c r="AA759" s="39"/>
      <c r="AB759" s="39"/>
      <c r="AE759" s="4"/>
    </row>
    <row r="760" spans="10:31">
      <c r="J760" s="39"/>
      <c r="Q760" s="39"/>
      <c r="Z760" s="39"/>
      <c r="AA760" s="39"/>
      <c r="AB760" s="39"/>
      <c r="AE760" s="4"/>
    </row>
    <row r="761" spans="10:31">
      <c r="J761" s="39"/>
      <c r="Q761" s="39"/>
      <c r="Z761" s="39"/>
      <c r="AA761" s="39"/>
      <c r="AB761" s="39"/>
      <c r="AE761" s="4"/>
    </row>
    <row r="762" spans="10:31">
      <c r="J762" s="39"/>
      <c r="Q762" s="39"/>
      <c r="Z762" s="39"/>
      <c r="AA762" s="39"/>
      <c r="AB762" s="39"/>
      <c r="AE762" s="4"/>
    </row>
    <row r="763" spans="10:31">
      <c r="J763" s="39"/>
      <c r="Q763" s="39"/>
      <c r="Z763" s="39"/>
      <c r="AA763" s="39"/>
      <c r="AB763" s="39"/>
      <c r="AE763" s="4"/>
    </row>
    <row r="764" spans="10:31">
      <c r="J764" s="39"/>
      <c r="Q764" s="39"/>
      <c r="Z764" s="39"/>
      <c r="AA764" s="39"/>
      <c r="AB764" s="39"/>
      <c r="AE764" s="4"/>
    </row>
    <row r="765" spans="10:31">
      <c r="J765" s="39"/>
      <c r="Q765" s="39"/>
      <c r="Z765" s="39"/>
      <c r="AA765" s="39"/>
      <c r="AB765" s="39"/>
      <c r="AE765" s="4"/>
    </row>
    <row r="766" spans="10:31">
      <c r="J766" s="39"/>
      <c r="Q766" s="39"/>
      <c r="Z766" s="39"/>
      <c r="AA766" s="39"/>
      <c r="AB766" s="39"/>
      <c r="AE766" s="4"/>
    </row>
    <row r="767" spans="10:31">
      <c r="J767" s="39"/>
      <c r="Q767" s="39"/>
      <c r="Z767" s="39"/>
      <c r="AA767" s="39"/>
      <c r="AB767" s="39"/>
      <c r="AE767" s="4"/>
    </row>
    <row r="768" spans="10:31">
      <c r="J768" s="39"/>
      <c r="Q768" s="39"/>
      <c r="Z768" s="39"/>
      <c r="AA768" s="39"/>
      <c r="AB768" s="39"/>
      <c r="AE768" s="4"/>
    </row>
    <row r="769" spans="10:31">
      <c r="J769" s="39"/>
      <c r="Q769" s="39"/>
      <c r="Z769" s="39"/>
      <c r="AA769" s="39"/>
      <c r="AB769" s="39"/>
      <c r="AE769" s="4"/>
    </row>
    <row r="770" spans="10:31">
      <c r="J770" s="39"/>
      <c r="Q770" s="39"/>
      <c r="Z770" s="39"/>
      <c r="AA770" s="39"/>
      <c r="AB770" s="39"/>
      <c r="AE770" s="4"/>
    </row>
    <row r="771" spans="10:31">
      <c r="J771" s="39"/>
      <c r="Q771" s="39"/>
      <c r="Z771" s="39"/>
      <c r="AA771" s="39"/>
      <c r="AB771" s="39"/>
      <c r="AE771" s="4"/>
    </row>
    <row r="772" spans="10:31">
      <c r="J772" s="39"/>
      <c r="Q772" s="39"/>
      <c r="Z772" s="39"/>
      <c r="AA772" s="39"/>
      <c r="AB772" s="39"/>
      <c r="AE772" s="4"/>
    </row>
    <row r="773" spans="10:31">
      <c r="J773" s="39"/>
      <c r="Q773" s="39"/>
      <c r="Z773" s="39"/>
      <c r="AA773" s="39"/>
      <c r="AB773" s="39"/>
      <c r="AE773" s="4"/>
    </row>
    <row r="774" spans="10:31">
      <c r="J774" s="39"/>
      <c r="Q774" s="39"/>
      <c r="Z774" s="39"/>
      <c r="AA774" s="39"/>
      <c r="AB774" s="39"/>
      <c r="AE774" s="4"/>
    </row>
    <row r="775" spans="10:31">
      <c r="J775" s="39"/>
      <c r="Q775" s="39"/>
      <c r="Z775" s="39"/>
      <c r="AA775" s="39"/>
      <c r="AB775" s="39"/>
      <c r="AE775" s="4"/>
    </row>
    <row r="776" spans="10:31">
      <c r="J776" s="39"/>
      <c r="Q776" s="39"/>
      <c r="Z776" s="39"/>
      <c r="AA776" s="39"/>
      <c r="AB776" s="39"/>
      <c r="AE776" s="4"/>
    </row>
    <row r="777" spans="10:31">
      <c r="J777" s="39"/>
      <c r="Q777" s="39"/>
      <c r="Z777" s="39"/>
      <c r="AA777" s="39"/>
      <c r="AB777" s="39"/>
      <c r="AE777" s="4"/>
    </row>
    <row r="778" spans="10:31">
      <c r="J778" s="39"/>
      <c r="Q778" s="39"/>
      <c r="Z778" s="39"/>
      <c r="AA778" s="39"/>
      <c r="AB778" s="39"/>
      <c r="AE778" s="4"/>
    </row>
    <row r="779" spans="10:31">
      <c r="J779" s="39"/>
      <c r="Q779" s="39"/>
      <c r="Z779" s="39"/>
      <c r="AA779" s="39"/>
      <c r="AB779" s="39"/>
      <c r="AE779" s="4"/>
    </row>
    <row r="780" spans="10:31">
      <c r="J780" s="39"/>
      <c r="Q780" s="39"/>
      <c r="Z780" s="39"/>
      <c r="AA780" s="39"/>
      <c r="AB780" s="39"/>
      <c r="AE780" s="4"/>
    </row>
    <row r="781" spans="10:31">
      <c r="J781" s="39"/>
      <c r="Q781" s="39"/>
      <c r="Z781" s="39"/>
      <c r="AA781" s="39"/>
      <c r="AB781" s="39"/>
      <c r="AE781" s="4"/>
    </row>
    <row r="782" spans="10:31">
      <c r="J782" s="39"/>
      <c r="Q782" s="39"/>
      <c r="Z782" s="39"/>
      <c r="AA782" s="39"/>
      <c r="AB782" s="39"/>
      <c r="AE782" s="4"/>
    </row>
    <row r="783" spans="10:31">
      <c r="J783" s="39"/>
      <c r="Q783" s="39"/>
      <c r="Z783" s="39"/>
      <c r="AA783" s="39"/>
      <c r="AB783" s="39"/>
      <c r="AE783" s="4"/>
    </row>
    <row r="784" spans="10:31">
      <c r="J784" s="39"/>
      <c r="Q784" s="39"/>
      <c r="Z784" s="39"/>
      <c r="AA784" s="39"/>
      <c r="AB784" s="39"/>
      <c r="AE784" s="4"/>
    </row>
    <row r="785" spans="10:31">
      <c r="J785" s="39"/>
      <c r="Q785" s="39"/>
      <c r="Z785" s="39"/>
      <c r="AA785" s="39"/>
      <c r="AB785" s="39"/>
      <c r="AE785" s="4"/>
    </row>
    <row r="786" spans="10:31">
      <c r="J786" s="39"/>
      <c r="Q786" s="39"/>
      <c r="Z786" s="39"/>
      <c r="AA786" s="39"/>
      <c r="AB786" s="39"/>
      <c r="AE786" s="4"/>
    </row>
    <row r="787" spans="10:31">
      <c r="J787" s="39"/>
      <c r="Q787" s="39"/>
      <c r="Z787" s="39"/>
      <c r="AA787" s="39"/>
      <c r="AB787" s="39"/>
      <c r="AE787" s="4"/>
    </row>
    <row r="788" spans="10:31">
      <c r="J788" s="39"/>
      <c r="Q788" s="39"/>
      <c r="Z788" s="39"/>
      <c r="AA788" s="39"/>
      <c r="AB788" s="39"/>
      <c r="AE788" s="4"/>
    </row>
    <row r="789" spans="10:31">
      <c r="J789" s="39"/>
      <c r="Q789" s="39"/>
      <c r="Z789" s="39"/>
      <c r="AA789" s="39"/>
      <c r="AB789" s="39"/>
      <c r="AE789" s="4"/>
    </row>
    <row r="790" spans="10:31">
      <c r="J790" s="39"/>
      <c r="Q790" s="39"/>
      <c r="Z790" s="39"/>
      <c r="AA790" s="39"/>
      <c r="AB790" s="39"/>
      <c r="AE790" s="4"/>
    </row>
    <row r="791" spans="10:31">
      <c r="J791" s="39"/>
      <c r="Q791" s="39"/>
      <c r="Z791" s="39"/>
      <c r="AA791" s="39"/>
      <c r="AB791" s="39"/>
      <c r="AE791" s="4"/>
    </row>
    <row r="792" spans="10:31">
      <c r="J792" s="39"/>
      <c r="Q792" s="39"/>
      <c r="Z792" s="39"/>
      <c r="AA792" s="39"/>
      <c r="AB792" s="39"/>
      <c r="AE792" s="4"/>
    </row>
    <row r="793" spans="10:31">
      <c r="J793" s="39"/>
      <c r="Q793" s="39"/>
      <c r="Z793" s="39"/>
      <c r="AA793" s="39"/>
      <c r="AB793" s="39"/>
      <c r="AE793" s="4"/>
    </row>
    <row r="794" spans="10:31">
      <c r="J794" s="39"/>
      <c r="Q794" s="39"/>
      <c r="Z794" s="39"/>
      <c r="AA794" s="39"/>
      <c r="AB794" s="39"/>
      <c r="AE794" s="4"/>
    </row>
    <row r="795" spans="10:31">
      <c r="J795" s="39"/>
      <c r="Q795" s="39"/>
      <c r="Z795" s="39"/>
      <c r="AA795" s="39"/>
      <c r="AB795" s="39"/>
      <c r="AE795" s="4"/>
    </row>
    <row r="796" spans="10:31">
      <c r="J796" s="39"/>
      <c r="Q796" s="39"/>
      <c r="Z796" s="39"/>
      <c r="AA796" s="39"/>
      <c r="AB796" s="39"/>
      <c r="AE796" s="4"/>
    </row>
    <row r="797" spans="10:31">
      <c r="J797" s="39"/>
      <c r="Q797" s="39"/>
      <c r="Z797" s="39"/>
      <c r="AA797" s="39"/>
      <c r="AB797" s="39"/>
      <c r="AE797" s="4"/>
    </row>
    <row r="798" spans="10:31">
      <c r="J798" s="39"/>
      <c r="Q798" s="39"/>
      <c r="Z798" s="39"/>
      <c r="AA798" s="39"/>
      <c r="AB798" s="39"/>
      <c r="AE798" s="4"/>
    </row>
    <row r="799" spans="10:31">
      <c r="J799" s="39"/>
      <c r="Q799" s="39"/>
      <c r="Z799" s="39"/>
      <c r="AA799" s="39"/>
      <c r="AB799" s="39"/>
      <c r="AE799" s="4"/>
    </row>
    <row r="800" spans="10:31">
      <c r="J800" s="39"/>
      <c r="Q800" s="39"/>
      <c r="Z800" s="39"/>
      <c r="AA800" s="39"/>
      <c r="AB800" s="39"/>
      <c r="AE800" s="4"/>
    </row>
    <row r="801" spans="10:31">
      <c r="J801" s="39"/>
      <c r="Q801" s="39"/>
      <c r="Z801" s="39"/>
      <c r="AA801" s="39"/>
      <c r="AB801" s="39"/>
      <c r="AE801" s="4"/>
    </row>
    <row r="802" spans="10:31">
      <c r="J802" s="39"/>
      <c r="Q802" s="39"/>
      <c r="Z802" s="39"/>
      <c r="AA802" s="39"/>
      <c r="AB802" s="39"/>
      <c r="AE802" s="4"/>
    </row>
    <row r="803" spans="10:31">
      <c r="J803" s="39"/>
      <c r="Q803" s="39"/>
      <c r="Z803" s="39"/>
      <c r="AA803" s="39"/>
      <c r="AB803" s="39"/>
      <c r="AE803" s="4"/>
    </row>
    <row r="804" spans="10:31">
      <c r="J804" s="39"/>
      <c r="Q804" s="39"/>
      <c r="Z804" s="39"/>
      <c r="AA804" s="39"/>
      <c r="AB804" s="39"/>
      <c r="AE804" s="4"/>
    </row>
    <row r="805" spans="10:31">
      <c r="J805" s="39"/>
      <c r="Q805" s="39"/>
      <c r="Z805" s="39"/>
      <c r="AA805" s="39"/>
      <c r="AB805" s="39"/>
      <c r="AE805" s="4"/>
    </row>
    <row r="806" spans="10:31">
      <c r="J806" s="39"/>
      <c r="Q806" s="39"/>
      <c r="Z806" s="39"/>
      <c r="AA806" s="39"/>
      <c r="AB806" s="39"/>
      <c r="AE806" s="4"/>
    </row>
    <row r="807" spans="10:31">
      <c r="J807" s="39"/>
      <c r="Q807" s="39"/>
      <c r="Z807" s="39"/>
      <c r="AA807" s="39"/>
      <c r="AB807" s="39"/>
      <c r="AE807" s="4"/>
    </row>
    <row r="808" spans="10:31">
      <c r="J808" s="39"/>
      <c r="Q808" s="39"/>
      <c r="Z808" s="39"/>
      <c r="AA808" s="39"/>
      <c r="AB808" s="39"/>
      <c r="AE808" s="4"/>
    </row>
    <row r="809" spans="10:31">
      <c r="J809" s="39"/>
      <c r="Q809" s="39"/>
      <c r="Z809" s="39"/>
      <c r="AA809" s="39"/>
      <c r="AB809" s="39"/>
      <c r="AE809" s="4"/>
    </row>
    <row r="810" spans="10:31">
      <c r="J810" s="39"/>
      <c r="Q810" s="39"/>
      <c r="Z810" s="39"/>
      <c r="AA810" s="39"/>
      <c r="AB810" s="39"/>
      <c r="AE810" s="4"/>
    </row>
    <row r="811" spans="10:31">
      <c r="J811" s="39"/>
      <c r="Q811" s="39"/>
      <c r="Z811" s="39"/>
      <c r="AA811" s="39"/>
      <c r="AB811" s="39"/>
      <c r="AE811" s="4"/>
    </row>
    <row r="812" spans="10:31">
      <c r="J812" s="39"/>
      <c r="Q812" s="39"/>
      <c r="Z812" s="39"/>
      <c r="AA812" s="39"/>
      <c r="AB812" s="39"/>
      <c r="AE812" s="4"/>
    </row>
    <row r="813" spans="10:31">
      <c r="J813" s="39"/>
      <c r="Q813" s="39"/>
      <c r="Z813" s="39"/>
      <c r="AA813" s="39"/>
      <c r="AB813" s="39"/>
      <c r="AE813" s="4"/>
    </row>
    <row r="814" spans="10:31">
      <c r="J814" s="39"/>
      <c r="Q814" s="39"/>
      <c r="Z814" s="39"/>
      <c r="AA814" s="39"/>
      <c r="AB814" s="39"/>
      <c r="AE814" s="4"/>
    </row>
    <row r="815" spans="10:31">
      <c r="J815" s="39"/>
      <c r="Q815" s="39"/>
      <c r="Z815" s="39"/>
      <c r="AA815" s="39"/>
      <c r="AB815" s="39"/>
      <c r="AE815" s="4"/>
    </row>
    <row r="816" spans="10:31">
      <c r="J816" s="39"/>
      <c r="Q816" s="39"/>
      <c r="Z816" s="39"/>
      <c r="AA816" s="39"/>
      <c r="AB816" s="39"/>
      <c r="AE816" s="4"/>
    </row>
    <row r="817" spans="10:31">
      <c r="J817" s="39"/>
      <c r="Q817" s="39"/>
      <c r="Z817" s="39"/>
      <c r="AA817" s="39"/>
      <c r="AB817" s="39"/>
      <c r="AE817" s="4"/>
    </row>
    <row r="818" spans="10:31">
      <c r="J818" s="39"/>
      <c r="Q818" s="39"/>
      <c r="Z818" s="39"/>
      <c r="AA818" s="39"/>
      <c r="AB818" s="39"/>
      <c r="AE818" s="4"/>
    </row>
    <row r="819" spans="10:31">
      <c r="J819" s="39"/>
      <c r="Q819" s="39"/>
      <c r="Z819" s="39"/>
      <c r="AA819" s="39"/>
      <c r="AB819" s="39"/>
      <c r="AE819" s="4"/>
    </row>
    <row r="820" spans="10:31">
      <c r="J820" s="39"/>
      <c r="Q820" s="39"/>
      <c r="Z820" s="39"/>
      <c r="AA820" s="39"/>
      <c r="AB820" s="39"/>
      <c r="AE820" s="4"/>
    </row>
    <row r="821" spans="10:31">
      <c r="J821" s="39"/>
      <c r="Q821" s="39"/>
      <c r="Z821" s="39"/>
      <c r="AA821" s="39"/>
      <c r="AB821" s="39"/>
      <c r="AE821" s="4"/>
    </row>
    <row r="822" spans="10:31">
      <c r="J822" s="39"/>
      <c r="Q822" s="39"/>
      <c r="Z822" s="39"/>
      <c r="AA822" s="39"/>
      <c r="AB822" s="39"/>
      <c r="AE822" s="4"/>
    </row>
    <row r="823" spans="10:31">
      <c r="J823" s="39"/>
      <c r="Q823" s="39"/>
      <c r="Z823" s="39"/>
      <c r="AA823" s="39"/>
      <c r="AB823" s="39"/>
      <c r="AE823" s="4"/>
    </row>
    <row r="824" spans="10:31">
      <c r="J824" s="39"/>
      <c r="Q824" s="39"/>
      <c r="Z824" s="39"/>
      <c r="AA824" s="39"/>
      <c r="AB824" s="39"/>
      <c r="AE824" s="4"/>
    </row>
    <row r="825" spans="10:31">
      <c r="J825" s="39"/>
      <c r="Q825" s="39"/>
      <c r="Z825" s="39"/>
      <c r="AA825" s="39"/>
      <c r="AB825" s="39"/>
      <c r="AE825" s="4"/>
    </row>
    <row r="826" spans="10:31">
      <c r="J826" s="39"/>
      <c r="Q826" s="39"/>
      <c r="Z826" s="39"/>
      <c r="AA826" s="39"/>
      <c r="AB826" s="39"/>
      <c r="AE826" s="4"/>
    </row>
    <row r="827" spans="10:31">
      <c r="J827" s="39"/>
      <c r="Q827" s="39"/>
      <c r="Z827" s="39"/>
      <c r="AA827" s="39"/>
      <c r="AB827" s="39"/>
      <c r="AE827" s="4"/>
    </row>
    <row r="828" spans="10:31">
      <c r="J828" s="39"/>
      <c r="Q828" s="39"/>
      <c r="Z828" s="39"/>
      <c r="AA828" s="39"/>
      <c r="AB828" s="39"/>
      <c r="AE828" s="4"/>
    </row>
    <row r="829" spans="10:31">
      <c r="J829" s="39"/>
      <c r="Q829" s="39"/>
      <c r="Z829" s="39"/>
      <c r="AA829" s="39"/>
      <c r="AB829" s="39"/>
      <c r="AE829" s="4"/>
    </row>
    <row r="830" spans="10:31">
      <c r="J830" s="39"/>
      <c r="Q830" s="39"/>
      <c r="Z830" s="39"/>
      <c r="AA830" s="39"/>
      <c r="AB830" s="39"/>
      <c r="AE830" s="4"/>
    </row>
    <row r="831" spans="10:31">
      <c r="J831" s="39"/>
      <c r="Q831" s="39"/>
      <c r="Z831" s="39"/>
      <c r="AA831" s="39"/>
      <c r="AB831" s="39"/>
      <c r="AE831" s="4"/>
    </row>
    <row r="832" spans="10:31">
      <c r="J832" s="39"/>
      <c r="Q832" s="39"/>
      <c r="Z832" s="39"/>
      <c r="AA832" s="39"/>
      <c r="AB832" s="39"/>
      <c r="AE832" s="4"/>
    </row>
    <row r="833" spans="10:31">
      <c r="J833" s="39"/>
      <c r="Q833" s="39"/>
      <c r="Z833" s="39"/>
      <c r="AA833" s="39"/>
      <c r="AB833" s="39"/>
      <c r="AE833" s="4"/>
    </row>
    <row r="834" spans="10:31">
      <c r="J834" s="39"/>
      <c r="Q834" s="39"/>
      <c r="Z834" s="39"/>
      <c r="AA834" s="39"/>
      <c r="AB834" s="39"/>
      <c r="AE834" s="4"/>
    </row>
    <row r="835" spans="10:31">
      <c r="J835" s="39"/>
      <c r="Q835" s="39"/>
      <c r="Z835" s="39"/>
      <c r="AA835" s="39"/>
      <c r="AB835" s="39"/>
      <c r="AE835" s="4"/>
    </row>
    <row r="836" spans="10:31">
      <c r="J836" s="39"/>
      <c r="Q836" s="39"/>
      <c r="Z836" s="39"/>
      <c r="AA836" s="39"/>
      <c r="AB836" s="39"/>
      <c r="AE836" s="4"/>
    </row>
    <row r="837" spans="10:31">
      <c r="J837" s="39"/>
      <c r="Q837" s="39"/>
      <c r="Z837" s="39"/>
      <c r="AA837" s="39"/>
      <c r="AB837" s="39"/>
      <c r="AE837" s="4"/>
    </row>
    <row r="838" spans="10:31">
      <c r="J838" s="39"/>
      <c r="Q838" s="39"/>
      <c r="Z838" s="39"/>
      <c r="AA838" s="39"/>
      <c r="AB838" s="39"/>
      <c r="AE838" s="4"/>
    </row>
    <row r="839" spans="10:31">
      <c r="J839" s="39"/>
      <c r="Q839" s="39"/>
      <c r="Z839" s="39"/>
      <c r="AA839" s="39"/>
      <c r="AB839" s="39"/>
      <c r="AE839" s="4"/>
    </row>
    <row r="840" spans="10:31">
      <c r="J840" s="39"/>
      <c r="Q840" s="39"/>
      <c r="Z840" s="39"/>
      <c r="AA840" s="39"/>
      <c r="AB840" s="39"/>
      <c r="AE840" s="4"/>
    </row>
    <row r="841" spans="10:31">
      <c r="J841" s="39"/>
      <c r="Q841" s="39"/>
      <c r="Z841" s="39"/>
      <c r="AA841" s="39"/>
      <c r="AB841" s="39"/>
      <c r="AE841" s="4"/>
    </row>
    <row r="842" spans="10:31">
      <c r="J842" s="39"/>
      <c r="Q842" s="39"/>
      <c r="Z842" s="39"/>
      <c r="AA842" s="39"/>
      <c r="AB842" s="39"/>
      <c r="AE842" s="4"/>
    </row>
    <row r="843" spans="10:31">
      <c r="J843" s="39"/>
      <c r="Q843" s="39"/>
      <c r="Z843" s="39"/>
      <c r="AA843" s="39"/>
      <c r="AB843" s="39"/>
      <c r="AE843" s="4"/>
    </row>
    <row r="844" spans="10:31">
      <c r="J844" s="39"/>
      <c r="Q844" s="39"/>
      <c r="Z844" s="39"/>
      <c r="AA844" s="39"/>
      <c r="AB844" s="39"/>
      <c r="AE844" s="4"/>
    </row>
    <row r="845" spans="10:31">
      <c r="J845" s="39"/>
      <c r="Q845" s="39"/>
      <c r="Z845" s="39"/>
      <c r="AA845" s="39"/>
      <c r="AB845" s="39"/>
      <c r="AE845" s="4"/>
    </row>
    <row r="846" spans="10:31">
      <c r="J846" s="39"/>
      <c r="Q846" s="39"/>
      <c r="Z846" s="39"/>
      <c r="AA846" s="39"/>
      <c r="AB846" s="39"/>
      <c r="AE846" s="4"/>
    </row>
    <row r="847" spans="10:31">
      <c r="J847" s="39"/>
      <c r="Q847" s="39"/>
      <c r="Z847" s="39"/>
      <c r="AA847" s="39"/>
      <c r="AB847" s="39"/>
      <c r="AE847" s="4"/>
    </row>
    <row r="848" spans="10:31">
      <c r="J848" s="39"/>
      <c r="Q848" s="39"/>
      <c r="Z848" s="39"/>
      <c r="AA848" s="39"/>
      <c r="AB848" s="39"/>
      <c r="AE848" s="4"/>
    </row>
    <row r="849" spans="10:31">
      <c r="J849" s="39"/>
      <c r="Q849" s="39"/>
      <c r="Z849" s="39"/>
      <c r="AA849" s="39"/>
      <c r="AB849" s="39"/>
      <c r="AE849" s="4"/>
    </row>
    <row r="850" spans="10:31">
      <c r="J850" s="39"/>
      <c r="Q850" s="39"/>
      <c r="Z850" s="39"/>
      <c r="AA850" s="39"/>
      <c r="AB850" s="39"/>
      <c r="AE850" s="4"/>
    </row>
    <row r="851" spans="10:31">
      <c r="J851" s="39"/>
      <c r="Q851" s="39"/>
      <c r="Z851" s="39"/>
      <c r="AA851" s="39"/>
      <c r="AB851" s="39"/>
      <c r="AE851" s="4"/>
    </row>
    <row r="852" spans="10:31">
      <c r="J852" s="39"/>
      <c r="Q852" s="39"/>
      <c r="Z852" s="39"/>
      <c r="AA852" s="39"/>
      <c r="AB852" s="39"/>
      <c r="AE852" s="4"/>
    </row>
    <row r="853" spans="10:31">
      <c r="J853" s="39"/>
      <c r="Q853" s="39"/>
      <c r="Z853" s="39"/>
      <c r="AA853" s="39"/>
      <c r="AB853" s="39"/>
      <c r="AE853" s="4"/>
    </row>
    <row r="854" spans="10:31">
      <c r="J854" s="39"/>
      <c r="Q854" s="39"/>
      <c r="Z854" s="39"/>
      <c r="AA854" s="39"/>
      <c r="AB854" s="39"/>
      <c r="AE854" s="4"/>
    </row>
    <row r="855" spans="10:31">
      <c r="J855" s="39"/>
      <c r="Q855" s="39"/>
      <c r="Z855" s="39"/>
      <c r="AA855" s="39"/>
      <c r="AB855" s="39"/>
      <c r="AE855" s="4"/>
    </row>
    <row r="856" spans="10:31">
      <c r="J856" s="39"/>
      <c r="Q856" s="39"/>
      <c r="Z856" s="39"/>
      <c r="AA856" s="39"/>
      <c r="AB856" s="39"/>
      <c r="AE856" s="4"/>
    </row>
    <row r="857" spans="10:31">
      <c r="J857" s="39"/>
      <c r="Q857" s="39"/>
      <c r="Z857" s="39"/>
      <c r="AA857" s="39"/>
      <c r="AB857" s="39"/>
      <c r="AE857" s="4"/>
    </row>
    <row r="858" spans="10:31">
      <c r="J858" s="39"/>
      <c r="Q858" s="39"/>
      <c r="Z858" s="39"/>
      <c r="AA858" s="39"/>
      <c r="AB858" s="39"/>
      <c r="AE858" s="4"/>
    </row>
    <row r="859" spans="10:31">
      <c r="J859" s="39"/>
      <c r="Q859" s="39"/>
      <c r="Z859" s="39"/>
      <c r="AA859" s="39"/>
      <c r="AB859" s="39"/>
      <c r="AE859" s="4"/>
    </row>
    <row r="860" spans="10:31">
      <c r="J860" s="39"/>
      <c r="Q860" s="39"/>
      <c r="Z860" s="39"/>
      <c r="AA860" s="39"/>
      <c r="AB860" s="39"/>
      <c r="AE860" s="4"/>
    </row>
    <row r="861" spans="10:31">
      <c r="J861" s="39"/>
      <c r="Q861" s="39"/>
      <c r="Z861" s="39"/>
      <c r="AA861" s="39"/>
      <c r="AB861" s="39"/>
      <c r="AE861" s="4"/>
    </row>
    <row r="862" spans="10:31">
      <c r="J862" s="39"/>
      <c r="Q862" s="39"/>
      <c r="Z862" s="39"/>
      <c r="AA862" s="39"/>
      <c r="AB862" s="39"/>
      <c r="AE862" s="4"/>
    </row>
    <row r="863" spans="10:31">
      <c r="J863" s="39"/>
      <c r="Q863" s="39"/>
      <c r="Z863" s="39"/>
      <c r="AA863" s="39"/>
      <c r="AB863" s="39"/>
      <c r="AE863" s="4"/>
    </row>
    <row r="864" spans="10:31">
      <c r="J864" s="39"/>
      <c r="Q864" s="39"/>
      <c r="Z864" s="39"/>
      <c r="AA864" s="39"/>
      <c r="AB864" s="39"/>
      <c r="AE864" s="4"/>
    </row>
    <row r="865" spans="10:31">
      <c r="J865" s="39"/>
      <c r="Q865" s="39"/>
      <c r="Z865" s="39"/>
      <c r="AA865" s="39"/>
      <c r="AB865" s="39"/>
      <c r="AE865" s="4"/>
    </row>
    <row r="866" spans="10:31">
      <c r="J866" s="39"/>
      <c r="Q866" s="39"/>
      <c r="Z866" s="39"/>
      <c r="AA866" s="39"/>
      <c r="AB866" s="39"/>
      <c r="AE866" s="4"/>
    </row>
    <row r="867" spans="10:31">
      <c r="J867" s="39"/>
      <c r="Q867" s="39"/>
      <c r="Z867" s="39"/>
      <c r="AA867" s="39"/>
      <c r="AB867" s="39"/>
      <c r="AE867" s="4"/>
    </row>
    <row r="868" spans="10:31">
      <c r="J868" s="39"/>
      <c r="Q868" s="39"/>
      <c r="Z868" s="39"/>
      <c r="AA868" s="39"/>
      <c r="AB868" s="39"/>
      <c r="AE868" s="4"/>
    </row>
    <row r="869" spans="10:31">
      <c r="J869" s="39"/>
      <c r="Q869" s="39"/>
      <c r="Z869" s="39"/>
      <c r="AA869" s="39"/>
      <c r="AB869" s="39"/>
      <c r="AE869" s="4"/>
    </row>
    <row r="870" spans="10:31">
      <c r="J870" s="39"/>
      <c r="Q870" s="39"/>
      <c r="Z870" s="39"/>
      <c r="AA870" s="39"/>
      <c r="AB870" s="39"/>
      <c r="AE870" s="4"/>
    </row>
    <row r="871" spans="10:31">
      <c r="J871" s="39"/>
      <c r="Q871" s="39"/>
      <c r="Z871" s="39"/>
      <c r="AA871" s="39"/>
      <c r="AB871" s="39"/>
      <c r="AE871" s="4"/>
    </row>
    <row r="872" spans="10:31">
      <c r="J872" s="39"/>
      <c r="Q872" s="39"/>
      <c r="Z872" s="39"/>
      <c r="AA872" s="39"/>
      <c r="AB872" s="39"/>
      <c r="AE872" s="4"/>
    </row>
    <row r="873" spans="10:31">
      <c r="J873" s="39"/>
      <c r="Q873" s="39"/>
      <c r="Z873" s="39"/>
      <c r="AA873" s="39"/>
      <c r="AB873" s="39"/>
      <c r="AE873" s="4"/>
    </row>
    <row r="874" spans="10:31">
      <c r="J874" s="39"/>
      <c r="Q874" s="39"/>
      <c r="Z874" s="39"/>
      <c r="AA874" s="39"/>
      <c r="AB874" s="39"/>
      <c r="AE874" s="4"/>
    </row>
    <row r="875" spans="10:31">
      <c r="J875" s="39"/>
      <c r="Q875" s="39"/>
      <c r="Z875" s="39"/>
      <c r="AA875" s="39"/>
      <c r="AB875" s="39"/>
      <c r="AE875" s="4"/>
    </row>
    <row r="876" spans="10:31">
      <c r="J876" s="39"/>
      <c r="Q876" s="39"/>
      <c r="Z876" s="39"/>
      <c r="AA876" s="39"/>
      <c r="AB876" s="39"/>
      <c r="AE876" s="4"/>
    </row>
    <row r="877" spans="10:31">
      <c r="J877" s="39"/>
      <c r="Q877" s="39"/>
      <c r="Z877" s="39"/>
      <c r="AA877" s="39"/>
      <c r="AB877" s="39"/>
      <c r="AE877" s="4"/>
    </row>
    <row r="878" spans="10:31">
      <c r="J878" s="39"/>
      <c r="Q878" s="39"/>
      <c r="Z878" s="39"/>
      <c r="AA878" s="39"/>
      <c r="AB878" s="39"/>
      <c r="AE878" s="4"/>
    </row>
    <row r="879" spans="10:31">
      <c r="J879" s="39"/>
      <c r="Q879" s="39"/>
      <c r="Z879" s="39"/>
      <c r="AA879" s="39"/>
      <c r="AB879" s="39"/>
      <c r="AE879" s="4"/>
    </row>
    <row r="880" spans="10:31">
      <c r="J880" s="39"/>
      <c r="Q880" s="39"/>
      <c r="Z880" s="39"/>
      <c r="AA880" s="39"/>
      <c r="AB880" s="39"/>
      <c r="AE880" s="4"/>
    </row>
    <row r="881" spans="10:31">
      <c r="J881" s="39"/>
      <c r="Q881" s="39"/>
      <c r="Z881" s="39"/>
      <c r="AA881" s="39"/>
      <c r="AB881" s="39"/>
      <c r="AE881" s="4"/>
    </row>
    <row r="882" spans="10:31">
      <c r="J882" s="39"/>
      <c r="Q882" s="39"/>
      <c r="Z882" s="39"/>
      <c r="AA882" s="39"/>
      <c r="AB882" s="39"/>
      <c r="AE882" s="4"/>
    </row>
    <row r="883" spans="10:31">
      <c r="J883" s="39"/>
      <c r="Q883" s="39"/>
      <c r="Z883" s="39"/>
      <c r="AA883" s="39"/>
      <c r="AB883" s="39"/>
      <c r="AE883" s="4"/>
    </row>
    <row r="884" spans="10:31">
      <c r="J884" s="39"/>
      <c r="Q884" s="39"/>
      <c r="Z884" s="39"/>
      <c r="AA884" s="39"/>
      <c r="AB884" s="39"/>
      <c r="AE884" s="4"/>
    </row>
    <row r="885" spans="10:31">
      <c r="J885" s="39"/>
      <c r="Q885" s="39"/>
      <c r="Z885" s="39"/>
      <c r="AA885" s="39"/>
      <c r="AB885" s="39"/>
      <c r="AE885" s="4"/>
    </row>
    <row r="886" spans="10:31">
      <c r="J886" s="39"/>
      <c r="Q886" s="39"/>
      <c r="Z886" s="39"/>
      <c r="AA886" s="39"/>
      <c r="AB886" s="39"/>
      <c r="AE886" s="4"/>
    </row>
    <row r="887" spans="10:31">
      <c r="J887" s="39"/>
      <c r="Q887" s="39"/>
      <c r="Z887" s="39"/>
      <c r="AA887" s="39"/>
      <c r="AB887" s="39"/>
      <c r="AE887" s="4"/>
    </row>
    <row r="888" spans="10:31">
      <c r="J888" s="39"/>
      <c r="Q888" s="39"/>
      <c r="Z888" s="39"/>
      <c r="AA888" s="39"/>
      <c r="AB888" s="39"/>
      <c r="AE888" s="4"/>
    </row>
    <row r="889" spans="10:31">
      <c r="J889" s="39"/>
      <c r="Q889" s="39"/>
      <c r="Z889" s="39"/>
      <c r="AA889" s="39"/>
      <c r="AB889" s="39"/>
      <c r="AE889" s="4"/>
    </row>
    <row r="890" spans="10:31">
      <c r="J890" s="39"/>
      <c r="Q890" s="39"/>
      <c r="Z890" s="39"/>
      <c r="AA890" s="39"/>
      <c r="AB890" s="39"/>
      <c r="AE890" s="4"/>
    </row>
    <row r="891" spans="10:31">
      <c r="J891" s="39"/>
      <c r="Q891" s="39"/>
      <c r="Z891" s="39"/>
      <c r="AA891" s="39"/>
      <c r="AB891" s="39"/>
      <c r="AE891" s="4"/>
    </row>
    <row r="892" spans="10:31">
      <c r="J892" s="39"/>
      <c r="Q892" s="39"/>
      <c r="Z892" s="39"/>
      <c r="AA892" s="39"/>
      <c r="AB892" s="39"/>
      <c r="AE892" s="4"/>
    </row>
    <row r="893" spans="10:31">
      <c r="J893" s="39"/>
      <c r="Q893" s="39"/>
      <c r="Z893" s="39"/>
      <c r="AA893" s="39"/>
      <c r="AB893" s="39"/>
      <c r="AE893" s="4"/>
    </row>
    <row r="894" spans="10:31">
      <c r="J894" s="39"/>
      <c r="Q894" s="39"/>
      <c r="Z894" s="39"/>
      <c r="AA894" s="39"/>
      <c r="AB894" s="39"/>
      <c r="AE894" s="4"/>
    </row>
    <row r="895" spans="10:31">
      <c r="J895" s="39"/>
      <c r="Q895" s="39"/>
      <c r="Z895" s="39"/>
      <c r="AA895" s="39"/>
      <c r="AB895" s="39"/>
      <c r="AE895" s="4"/>
    </row>
    <row r="896" spans="10:31">
      <c r="J896" s="39"/>
      <c r="Q896" s="39"/>
      <c r="Z896" s="39"/>
      <c r="AA896" s="39"/>
      <c r="AB896" s="39"/>
      <c r="AE896" s="4"/>
    </row>
    <row r="897" spans="10:31">
      <c r="J897" s="39"/>
      <c r="Q897" s="39"/>
      <c r="Z897" s="39"/>
      <c r="AA897" s="39"/>
      <c r="AB897" s="39"/>
      <c r="AE897" s="4"/>
    </row>
    <row r="898" spans="10:31">
      <c r="J898" s="39"/>
      <c r="Q898" s="39"/>
      <c r="Z898" s="39"/>
      <c r="AA898" s="39"/>
      <c r="AB898" s="39"/>
      <c r="AE898" s="4"/>
    </row>
    <row r="899" spans="10:31">
      <c r="J899" s="39"/>
      <c r="Q899" s="39"/>
      <c r="Z899" s="39"/>
      <c r="AA899" s="39"/>
      <c r="AB899" s="39"/>
      <c r="AE899" s="4"/>
    </row>
    <row r="900" spans="10:31">
      <c r="J900" s="39"/>
      <c r="Q900" s="39"/>
      <c r="Z900" s="39"/>
      <c r="AA900" s="39"/>
      <c r="AB900" s="39"/>
      <c r="AE900" s="4"/>
    </row>
    <row r="901" spans="10:31">
      <c r="J901" s="39"/>
      <c r="Q901" s="39"/>
      <c r="Z901" s="39"/>
      <c r="AA901" s="39"/>
      <c r="AB901" s="39"/>
      <c r="AE901" s="4"/>
    </row>
    <row r="902" spans="10:31">
      <c r="J902" s="39"/>
      <c r="Q902" s="39"/>
      <c r="Z902" s="39"/>
      <c r="AA902" s="39"/>
      <c r="AB902" s="39"/>
      <c r="AE902" s="4"/>
    </row>
    <row r="903" spans="10:31">
      <c r="J903" s="39"/>
      <c r="Q903" s="39"/>
      <c r="Z903" s="39"/>
      <c r="AA903" s="39"/>
      <c r="AB903" s="39"/>
      <c r="AE903" s="4"/>
    </row>
    <row r="904" spans="10:31">
      <c r="J904" s="39"/>
      <c r="Q904" s="39"/>
      <c r="Z904" s="39"/>
      <c r="AA904" s="39"/>
      <c r="AB904" s="39"/>
      <c r="AE904" s="4"/>
    </row>
    <row r="905" spans="10:31">
      <c r="J905" s="39"/>
      <c r="Q905" s="39"/>
      <c r="Z905" s="39"/>
      <c r="AA905" s="39"/>
      <c r="AB905" s="39"/>
      <c r="AE905" s="4"/>
    </row>
    <row r="906" spans="10:31">
      <c r="J906" s="39"/>
      <c r="Q906" s="39"/>
      <c r="Z906" s="39"/>
      <c r="AA906" s="39"/>
      <c r="AB906" s="39"/>
      <c r="AE906" s="4"/>
    </row>
    <row r="907" spans="10:31">
      <c r="J907" s="39"/>
      <c r="Q907" s="39"/>
      <c r="Z907" s="39"/>
      <c r="AA907" s="39"/>
      <c r="AB907" s="39"/>
      <c r="AE907" s="4"/>
    </row>
    <row r="908" spans="10:31">
      <c r="J908" s="39"/>
      <c r="Q908" s="39"/>
      <c r="Z908" s="39"/>
      <c r="AA908" s="39"/>
      <c r="AB908" s="39"/>
      <c r="AE908" s="4"/>
    </row>
    <row r="909" spans="10:31">
      <c r="J909" s="39"/>
      <c r="Q909" s="39"/>
      <c r="Z909" s="39"/>
      <c r="AA909" s="39"/>
      <c r="AB909" s="39"/>
      <c r="AE909" s="4"/>
    </row>
    <row r="910" spans="10:31">
      <c r="J910" s="39"/>
      <c r="Q910" s="39"/>
      <c r="Z910" s="39"/>
      <c r="AA910" s="39"/>
      <c r="AB910" s="39"/>
      <c r="AE910" s="4"/>
    </row>
    <row r="911" spans="10:31">
      <c r="J911" s="39"/>
      <c r="Q911" s="39"/>
      <c r="Z911" s="39"/>
      <c r="AA911" s="39"/>
      <c r="AB911" s="39"/>
      <c r="AE911" s="4"/>
    </row>
    <row r="912" spans="10:31">
      <c r="J912" s="39"/>
      <c r="Q912" s="39"/>
      <c r="Z912" s="39"/>
      <c r="AA912" s="39"/>
      <c r="AB912" s="39"/>
      <c r="AE912" s="4"/>
    </row>
    <row r="913" spans="10:31">
      <c r="J913" s="39"/>
      <c r="Q913" s="39"/>
      <c r="Z913" s="39"/>
      <c r="AA913" s="39"/>
      <c r="AB913" s="39"/>
      <c r="AE913" s="4"/>
    </row>
    <row r="914" spans="10:31">
      <c r="J914" s="39"/>
      <c r="Q914" s="39"/>
      <c r="Z914" s="39"/>
      <c r="AA914" s="39"/>
      <c r="AB914" s="39"/>
      <c r="AE914" s="4"/>
    </row>
    <row r="915" spans="10:31">
      <c r="J915" s="39"/>
      <c r="Q915" s="39"/>
      <c r="Z915" s="39"/>
      <c r="AA915" s="39"/>
      <c r="AB915" s="39"/>
      <c r="AE915" s="4"/>
    </row>
    <row r="916" spans="10:31">
      <c r="J916" s="39"/>
      <c r="Q916" s="39"/>
      <c r="Z916" s="39"/>
      <c r="AA916" s="39"/>
      <c r="AB916" s="39"/>
      <c r="AE916" s="4"/>
    </row>
    <row r="917" spans="10:31">
      <c r="J917" s="39"/>
      <c r="Q917" s="39"/>
      <c r="Z917" s="39"/>
      <c r="AA917" s="39"/>
      <c r="AB917" s="39"/>
      <c r="AE917" s="4"/>
    </row>
    <row r="918" spans="10:31">
      <c r="J918" s="39"/>
      <c r="Q918" s="39"/>
      <c r="Z918" s="39"/>
      <c r="AA918" s="39"/>
      <c r="AB918" s="39"/>
      <c r="AE918" s="4"/>
    </row>
    <row r="919" spans="10:31">
      <c r="J919" s="39"/>
      <c r="Q919" s="39"/>
      <c r="Z919" s="39"/>
      <c r="AA919" s="39"/>
      <c r="AB919" s="39"/>
      <c r="AE919" s="4"/>
    </row>
    <row r="920" spans="10:31">
      <c r="J920" s="39"/>
      <c r="Q920" s="39"/>
      <c r="Z920" s="39"/>
      <c r="AA920" s="39"/>
      <c r="AB920" s="39"/>
      <c r="AE920" s="4"/>
    </row>
    <row r="921" spans="10:31">
      <c r="J921" s="39"/>
      <c r="Q921" s="39"/>
      <c r="Z921" s="39"/>
      <c r="AA921" s="39"/>
      <c r="AB921" s="39"/>
      <c r="AE921" s="4"/>
    </row>
    <row r="922" spans="10:31">
      <c r="J922" s="39"/>
      <c r="Q922" s="39"/>
      <c r="Z922" s="39"/>
      <c r="AA922" s="39"/>
      <c r="AB922" s="39"/>
      <c r="AE922" s="4"/>
    </row>
    <row r="923" spans="10:31">
      <c r="J923" s="39"/>
      <c r="Q923" s="39"/>
      <c r="Z923" s="39"/>
      <c r="AA923" s="39"/>
      <c r="AB923" s="39"/>
      <c r="AE923" s="4"/>
    </row>
    <row r="924" spans="10:31">
      <c r="J924" s="39"/>
      <c r="Q924" s="39"/>
      <c r="Z924" s="39"/>
      <c r="AA924" s="39"/>
      <c r="AB924" s="39"/>
      <c r="AE924" s="4"/>
    </row>
    <row r="925" spans="10:31">
      <c r="J925" s="39"/>
      <c r="Q925" s="39"/>
      <c r="Z925" s="39"/>
      <c r="AA925" s="39"/>
      <c r="AB925" s="39"/>
      <c r="AE925" s="4"/>
    </row>
    <row r="926" spans="10:31">
      <c r="J926" s="39"/>
      <c r="Q926" s="39"/>
      <c r="Z926" s="39"/>
      <c r="AA926" s="39"/>
      <c r="AB926" s="39"/>
      <c r="AE926" s="4"/>
    </row>
    <row r="927" spans="10:31">
      <c r="J927" s="39"/>
      <c r="Q927" s="39"/>
      <c r="Z927" s="39"/>
      <c r="AA927" s="39"/>
      <c r="AB927" s="39"/>
      <c r="AE927" s="4"/>
    </row>
    <row r="928" spans="10:31">
      <c r="J928" s="39"/>
      <c r="Q928" s="39"/>
      <c r="Z928" s="39"/>
      <c r="AA928" s="39"/>
      <c r="AB928" s="39"/>
      <c r="AE928" s="4"/>
    </row>
    <row r="929" spans="10:31">
      <c r="J929" s="39"/>
      <c r="Q929" s="39"/>
      <c r="Z929" s="39"/>
      <c r="AA929" s="39"/>
      <c r="AB929" s="39"/>
      <c r="AE929" s="4"/>
    </row>
    <row r="930" spans="10:31">
      <c r="J930" s="39"/>
      <c r="Q930" s="39"/>
      <c r="Z930" s="39"/>
      <c r="AA930" s="39"/>
      <c r="AB930" s="39"/>
      <c r="AE930" s="4"/>
    </row>
    <row r="931" spans="10:31">
      <c r="J931" s="39"/>
      <c r="Q931" s="39"/>
      <c r="Z931" s="39"/>
      <c r="AA931" s="39"/>
      <c r="AB931" s="39"/>
      <c r="AE931" s="4"/>
    </row>
    <row r="932" spans="10:31">
      <c r="J932" s="39"/>
      <c r="Q932" s="39"/>
      <c r="Z932" s="39"/>
      <c r="AA932" s="39"/>
      <c r="AB932" s="39"/>
      <c r="AE932" s="4"/>
    </row>
    <row r="933" spans="10:31">
      <c r="J933" s="39"/>
      <c r="Q933" s="39"/>
      <c r="Z933" s="39"/>
      <c r="AA933" s="39"/>
      <c r="AB933" s="39"/>
      <c r="AE933" s="4"/>
    </row>
    <row r="934" spans="10:31">
      <c r="J934" s="39"/>
      <c r="Q934" s="39"/>
      <c r="Z934" s="39"/>
      <c r="AA934" s="39"/>
      <c r="AB934" s="39"/>
      <c r="AE934" s="4"/>
    </row>
    <row r="935" spans="10:31">
      <c r="J935" s="39"/>
      <c r="Q935" s="39"/>
      <c r="Z935" s="39"/>
      <c r="AA935" s="39"/>
      <c r="AB935" s="39"/>
      <c r="AE935" s="4"/>
    </row>
    <row r="936" spans="10:31">
      <c r="J936" s="39"/>
      <c r="Q936" s="39"/>
      <c r="Z936" s="39"/>
      <c r="AA936" s="39"/>
      <c r="AB936" s="39"/>
      <c r="AE936" s="4"/>
    </row>
    <row r="937" spans="10:31">
      <c r="J937" s="39"/>
      <c r="Q937" s="39"/>
      <c r="Z937" s="39"/>
      <c r="AA937" s="39"/>
      <c r="AB937" s="39"/>
      <c r="AE937" s="4"/>
    </row>
    <row r="938" spans="10:31">
      <c r="J938" s="39"/>
      <c r="Q938" s="39"/>
      <c r="Z938" s="39"/>
      <c r="AA938" s="39"/>
      <c r="AB938" s="39"/>
      <c r="AE938" s="4"/>
    </row>
    <row r="939" spans="10:31">
      <c r="J939" s="39"/>
      <c r="Q939" s="39"/>
      <c r="Z939" s="39"/>
      <c r="AA939" s="39"/>
      <c r="AB939" s="39"/>
      <c r="AE939" s="4"/>
    </row>
    <row r="940" spans="10:31">
      <c r="J940" s="39"/>
      <c r="Q940" s="39"/>
      <c r="Z940" s="39"/>
      <c r="AA940" s="39"/>
      <c r="AB940" s="39"/>
      <c r="AE940" s="4"/>
    </row>
    <row r="941" spans="10:31">
      <c r="J941" s="39"/>
      <c r="Q941" s="39"/>
      <c r="Z941" s="39"/>
      <c r="AA941" s="39"/>
      <c r="AB941" s="39"/>
      <c r="AE941" s="4"/>
    </row>
    <row r="942" spans="10:31">
      <c r="J942" s="39"/>
      <c r="Q942" s="39"/>
      <c r="Z942" s="39"/>
      <c r="AA942" s="39"/>
      <c r="AB942" s="39"/>
      <c r="AE942" s="4"/>
    </row>
    <row r="943" spans="10:31">
      <c r="J943" s="39"/>
      <c r="Q943" s="39"/>
      <c r="Z943" s="39"/>
      <c r="AA943" s="39"/>
      <c r="AB943" s="39"/>
      <c r="AE943" s="4"/>
    </row>
    <row r="944" spans="10:31">
      <c r="J944" s="39"/>
      <c r="Q944" s="39"/>
      <c r="Z944" s="39"/>
      <c r="AA944" s="39"/>
      <c r="AB944" s="39"/>
      <c r="AE944" s="4"/>
    </row>
    <row r="945" spans="10:31">
      <c r="J945" s="39"/>
      <c r="Q945" s="39"/>
      <c r="Z945" s="39"/>
      <c r="AA945" s="39"/>
      <c r="AB945" s="39"/>
      <c r="AE945" s="4"/>
    </row>
    <row r="946" spans="10:31">
      <c r="J946" s="39"/>
      <c r="Q946" s="39"/>
      <c r="Z946" s="39"/>
      <c r="AA946" s="39"/>
      <c r="AB946" s="39"/>
      <c r="AE946" s="4"/>
    </row>
    <row r="947" spans="10:31">
      <c r="J947" s="39"/>
      <c r="Q947" s="39"/>
      <c r="Z947" s="39"/>
      <c r="AA947" s="39"/>
      <c r="AB947" s="39"/>
      <c r="AE947" s="4"/>
    </row>
    <row r="948" spans="10:31">
      <c r="J948" s="39"/>
      <c r="Q948" s="39"/>
      <c r="Z948" s="39"/>
      <c r="AA948" s="39"/>
      <c r="AB948" s="39"/>
      <c r="AE948" s="4"/>
    </row>
    <row r="949" spans="10:31">
      <c r="J949" s="39"/>
      <c r="Q949" s="39"/>
      <c r="Z949" s="39"/>
      <c r="AA949" s="39"/>
      <c r="AB949" s="39"/>
      <c r="AE949" s="4"/>
    </row>
    <row r="950" spans="10:31">
      <c r="J950" s="39"/>
      <c r="Q950" s="39"/>
      <c r="Z950" s="39"/>
      <c r="AA950" s="39"/>
      <c r="AB950" s="39"/>
      <c r="AE950" s="4"/>
    </row>
    <row r="951" spans="10:31">
      <c r="J951" s="39"/>
      <c r="Q951" s="39"/>
      <c r="Z951" s="39"/>
      <c r="AA951" s="39"/>
      <c r="AB951" s="39"/>
      <c r="AE951" s="4"/>
    </row>
    <row r="952" spans="10:31">
      <c r="J952" s="39"/>
      <c r="Q952" s="39"/>
      <c r="Z952" s="39"/>
      <c r="AA952" s="39"/>
      <c r="AB952" s="39"/>
      <c r="AE952" s="4"/>
    </row>
    <row r="953" spans="10:31">
      <c r="J953" s="39"/>
      <c r="Q953" s="39"/>
      <c r="Z953" s="39"/>
      <c r="AA953" s="39"/>
      <c r="AB953" s="39"/>
      <c r="AE953" s="4"/>
    </row>
    <row r="954" spans="10:31">
      <c r="J954" s="39"/>
      <c r="Q954" s="39"/>
      <c r="Z954" s="39"/>
      <c r="AA954" s="39"/>
      <c r="AB954" s="39"/>
      <c r="AE954" s="4"/>
    </row>
    <row r="955" spans="10:31">
      <c r="J955" s="39"/>
      <c r="Q955" s="39"/>
      <c r="Z955" s="39"/>
      <c r="AA955" s="39"/>
      <c r="AB955" s="39"/>
      <c r="AE955" s="4"/>
    </row>
    <row r="956" spans="10:31">
      <c r="J956" s="39"/>
      <c r="Q956" s="39"/>
      <c r="Z956" s="39"/>
      <c r="AA956" s="39"/>
      <c r="AB956" s="39"/>
      <c r="AE956" s="4"/>
    </row>
    <row r="957" spans="10:31">
      <c r="J957" s="39"/>
      <c r="Q957" s="39"/>
      <c r="Z957" s="39"/>
      <c r="AA957" s="39"/>
      <c r="AB957" s="39"/>
      <c r="AE957" s="4"/>
    </row>
    <row r="958" spans="10:31">
      <c r="J958" s="39"/>
      <c r="Q958" s="39"/>
      <c r="Z958" s="39"/>
      <c r="AA958" s="39"/>
      <c r="AB958" s="39"/>
      <c r="AE958" s="4"/>
    </row>
    <row r="959" spans="10:31">
      <c r="J959" s="39"/>
      <c r="Q959" s="39"/>
      <c r="Z959" s="39"/>
      <c r="AA959" s="39"/>
      <c r="AB959" s="39"/>
      <c r="AE959" s="4"/>
    </row>
    <row r="960" spans="10:31">
      <c r="J960" s="39"/>
      <c r="Q960" s="39"/>
      <c r="Z960" s="39"/>
      <c r="AA960" s="39"/>
      <c r="AB960" s="39"/>
      <c r="AE960" s="4"/>
    </row>
    <row r="961" spans="10:31">
      <c r="J961" s="39"/>
      <c r="Q961" s="39"/>
      <c r="Z961" s="39"/>
      <c r="AA961" s="39"/>
      <c r="AB961" s="39"/>
      <c r="AE961" s="4"/>
    </row>
    <row r="962" spans="10:31">
      <c r="J962" s="39"/>
      <c r="Q962" s="39"/>
      <c r="Z962" s="39"/>
      <c r="AA962" s="39"/>
      <c r="AB962" s="39"/>
      <c r="AE962" s="4"/>
    </row>
    <row r="963" spans="10:31">
      <c r="J963" s="39"/>
      <c r="Q963" s="39"/>
      <c r="Z963" s="39"/>
      <c r="AA963" s="39"/>
      <c r="AB963" s="39"/>
      <c r="AE963" s="4"/>
    </row>
    <row r="964" spans="10:31">
      <c r="J964" s="39"/>
      <c r="Q964" s="39"/>
      <c r="Z964" s="39"/>
      <c r="AA964" s="39"/>
      <c r="AB964" s="39"/>
      <c r="AE964" s="4"/>
    </row>
    <row r="965" spans="10:31">
      <c r="J965" s="39"/>
      <c r="Q965" s="39"/>
      <c r="Z965" s="39"/>
      <c r="AA965" s="39"/>
      <c r="AB965" s="39"/>
      <c r="AE965" s="4"/>
    </row>
    <row r="966" spans="10:31">
      <c r="J966" s="39"/>
      <c r="Q966" s="39"/>
      <c r="Z966" s="39"/>
      <c r="AA966" s="39"/>
      <c r="AB966" s="39"/>
      <c r="AE966" s="4"/>
    </row>
    <row r="967" spans="10:31">
      <c r="J967" s="39"/>
      <c r="Q967" s="39"/>
      <c r="Z967" s="39"/>
      <c r="AA967" s="39"/>
      <c r="AB967" s="39"/>
      <c r="AE967" s="4"/>
    </row>
    <row r="968" spans="10:31">
      <c r="J968" s="39"/>
      <c r="Q968" s="39"/>
      <c r="Z968" s="39"/>
      <c r="AA968" s="39"/>
      <c r="AB968" s="39"/>
      <c r="AE968" s="4"/>
    </row>
    <row r="969" spans="10:31">
      <c r="J969" s="39"/>
      <c r="Q969" s="39"/>
      <c r="Z969" s="39"/>
      <c r="AA969" s="39"/>
      <c r="AB969" s="39"/>
      <c r="AE969" s="4"/>
    </row>
    <row r="970" spans="10:31">
      <c r="J970" s="39"/>
      <c r="Q970" s="39"/>
      <c r="Z970" s="39"/>
      <c r="AA970" s="39"/>
      <c r="AB970" s="39"/>
      <c r="AE970" s="4"/>
    </row>
    <row r="971" spans="10:31">
      <c r="J971" s="39"/>
      <c r="Q971" s="39"/>
      <c r="Z971" s="39"/>
      <c r="AA971" s="39"/>
      <c r="AB971" s="39"/>
      <c r="AE971" s="4"/>
    </row>
    <row r="972" spans="10:31">
      <c r="J972" s="39"/>
      <c r="Q972" s="39"/>
      <c r="Z972" s="39"/>
      <c r="AA972" s="39"/>
      <c r="AB972" s="39"/>
      <c r="AE972" s="4"/>
    </row>
    <row r="973" spans="10:31">
      <c r="J973" s="39"/>
      <c r="Q973" s="39"/>
      <c r="Z973" s="39"/>
      <c r="AA973" s="39"/>
      <c r="AB973" s="39"/>
      <c r="AE973" s="4"/>
    </row>
    <row r="974" spans="10:31">
      <c r="J974" s="39"/>
      <c r="Q974" s="39"/>
      <c r="Z974" s="39"/>
      <c r="AA974" s="39"/>
      <c r="AB974" s="39"/>
      <c r="AE974" s="4"/>
    </row>
    <row r="975" spans="10:31">
      <c r="J975" s="39"/>
      <c r="Q975" s="39"/>
      <c r="Z975" s="39"/>
      <c r="AA975" s="39"/>
      <c r="AB975" s="39"/>
      <c r="AE975" s="4"/>
    </row>
    <row r="976" spans="10:31">
      <c r="J976" s="39"/>
      <c r="Q976" s="39"/>
      <c r="Z976" s="39"/>
      <c r="AA976" s="39"/>
      <c r="AB976" s="39"/>
      <c r="AE976" s="4"/>
    </row>
    <row r="977" spans="10:31">
      <c r="J977" s="39"/>
      <c r="Q977" s="39"/>
      <c r="Z977" s="39"/>
      <c r="AA977" s="39"/>
      <c r="AB977" s="39"/>
      <c r="AE977" s="4"/>
    </row>
    <row r="978" spans="10:31">
      <c r="J978" s="39"/>
      <c r="Q978" s="39"/>
      <c r="Z978" s="39"/>
      <c r="AA978" s="39"/>
      <c r="AB978" s="39"/>
      <c r="AE978" s="4"/>
    </row>
    <row r="979" spans="10:31">
      <c r="J979" s="39"/>
      <c r="Q979" s="39"/>
      <c r="Z979" s="39"/>
      <c r="AA979" s="39"/>
      <c r="AB979" s="39"/>
      <c r="AE979" s="4"/>
    </row>
    <row r="980" spans="10:31">
      <c r="J980" s="39"/>
      <c r="Q980" s="39"/>
      <c r="Z980" s="39"/>
      <c r="AA980" s="39"/>
      <c r="AB980" s="39"/>
      <c r="AE980" s="4"/>
    </row>
    <row r="981" spans="10:31">
      <c r="J981" s="39"/>
      <c r="Q981" s="39"/>
      <c r="Z981" s="39"/>
      <c r="AA981" s="39"/>
      <c r="AB981" s="39"/>
      <c r="AE981" s="4"/>
    </row>
    <row r="982" spans="10:31">
      <c r="J982" s="39"/>
      <c r="Q982" s="39"/>
      <c r="Z982" s="39"/>
      <c r="AA982" s="39"/>
      <c r="AB982" s="39"/>
      <c r="AE982" s="4"/>
    </row>
    <row r="983" spans="10:31">
      <c r="J983" s="39"/>
      <c r="Q983" s="39"/>
      <c r="Z983" s="39"/>
      <c r="AA983" s="39"/>
      <c r="AB983" s="39"/>
      <c r="AE983" s="4"/>
    </row>
    <row r="984" spans="10:31">
      <c r="J984" s="39"/>
      <c r="Q984" s="39"/>
      <c r="Z984" s="39"/>
      <c r="AA984" s="39"/>
      <c r="AB984" s="39"/>
      <c r="AE984" s="4"/>
    </row>
    <row r="985" spans="10:31">
      <c r="J985" s="39"/>
      <c r="Q985" s="39"/>
      <c r="Z985" s="39"/>
      <c r="AA985" s="39"/>
      <c r="AB985" s="39"/>
      <c r="AE985" s="4"/>
    </row>
    <row r="986" spans="10:31">
      <c r="J986" s="39"/>
      <c r="Q986" s="39"/>
      <c r="Z986" s="39"/>
      <c r="AA986" s="39"/>
      <c r="AB986" s="39"/>
      <c r="AE986" s="4"/>
    </row>
    <row r="987" spans="10:31">
      <c r="J987" s="39"/>
      <c r="Q987" s="39"/>
      <c r="Z987" s="39"/>
      <c r="AA987" s="39"/>
      <c r="AB987" s="39"/>
      <c r="AE987" s="4"/>
    </row>
    <row r="988" spans="10:31">
      <c r="J988" s="39"/>
      <c r="Q988" s="39"/>
      <c r="Z988" s="39"/>
      <c r="AA988" s="39"/>
      <c r="AB988" s="39"/>
      <c r="AE988" s="4"/>
    </row>
    <row r="989" spans="10:31">
      <c r="J989" s="39"/>
      <c r="Q989" s="39"/>
      <c r="Z989" s="39"/>
      <c r="AA989" s="39"/>
      <c r="AB989" s="39"/>
      <c r="AE989" s="4"/>
    </row>
    <row r="990" spans="10:31">
      <c r="J990" s="39"/>
      <c r="Q990" s="39"/>
      <c r="Z990" s="39"/>
      <c r="AA990" s="39"/>
      <c r="AB990" s="39"/>
      <c r="AE990" s="4"/>
    </row>
    <row r="991" spans="10:31">
      <c r="J991" s="39"/>
      <c r="Q991" s="39"/>
      <c r="Z991" s="39"/>
      <c r="AA991" s="39"/>
      <c r="AB991" s="39"/>
      <c r="AE991" s="4"/>
    </row>
    <row r="992" spans="10:31">
      <c r="J992" s="39"/>
      <c r="Q992" s="39"/>
      <c r="Z992" s="39"/>
      <c r="AA992" s="39"/>
      <c r="AB992" s="39"/>
      <c r="AE992" s="4"/>
    </row>
    <row r="993" spans="10:31">
      <c r="J993" s="39"/>
      <c r="Q993" s="39"/>
      <c r="Z993" s="39"/>
      <c r="AA993" s="39"/>
      <c r="AB993" s="39"/>
      <c r="AE993" s="4"/>
    </row>
    <row r="994" spans="10:31">
      <c r="J994" s="39"/>
      <c r="Q994" s="39"/>
      <c r="Z994" s="39"/>
      <c r="AA994" s="39"/>
      <c r="AB994" s="39"/>
      <c r="AE994" s="4"/>
    </row>
    <row r="995" spans="10:31">
      <c r="J995" s="39"/>
      <c r="Q995" s="39"/>
      <c r="Z995" s="39"/>
      <c r="AA995" s="39"/>
      <c r="AB995" s="39"/>
      <c r="AE995" s="4"/>
    </row>
    <row r="996" spans="10:31">
      <c r="J996" s="39"/>
      <c r="Q996" s="39"/>
      <c r="Z996" s="39"/>
      <c r="AA996" s="39"/>
      <c r="AB996" s="39"/>
      <c r="AE996" s="4"/>
    </row>
    <row r="997" spans="10:31">
      <c r="J997" s="39"/>
      <c r="Q997" s="39"/>
      <c r="Z997" s="39"/>
      <c r="AA997" s="39"/>
      <c r="AB997" s="39"/>
      <c r="AE997" s="4"/>
    </row>
    <row r="998" spans="10:31">
      <c r="J998" s="39"/>
      <c r="Q998" s="39"/>
      <c r="Z998" s="39"/>
      <c r="AA998" s="39"/>
      <c r="AB998" s="39"/>
      <c r="AE998" s="4"/>
    </row>
    <row r="999" spans="10:31">
      <c r="J999" s="39"/>
      <c r="Q999" s="39"/>
      <c r="Z999" s="39"/>
      <c r="AA999" s="39"/>
      <c r="AB999" s="39"/>
      <c r="AE999" s="4"/>
    </row>
    <row r="1000" spans="10:31">
      <c r="J1000" s="39"/>
      <c r="Q1000" s="39"/>
      <c r="Z1000" s="39"/>
      <c r="AA1000" s="39"/>
      <c r="AB1000" s="39"/>
      <c r="AE1000" s="4"/>
    </row>
  </sheetData>
  <mergeCells count="6">
    <mergeCell ref="AD7:AG7"/>
    <mergeCell ref="A1:B1"/>
    <mergeCell ref="B9:D10"/>
    <mergeCell ref="I2:J3"/>
    <mergeCell ref="O2:P3"/>
    <mergeCell ref="AE9:AF10"/>
  </mergeCells>
  <conditionalFormatting sqref="B12:AC200">
    <cfRule type="expression" dxfId="2" priority="1">
      <formula>AND($B12&lt;&gt;"",MOD(ROW(),2)=0)</formula>
    </cfRule>
  </conditionalFormatting>
  <conditionalFormatting sqref="AE12:AQ200">
    <cfRule type="expression" dxfId="1" priority="2">
      <formula>AND($AE12&lt;&gt;"",MOD(ROW(),2)=0)</formula>
    </cfRule>
  </conditionalFormatting>
  <conditionalFormatting sqref="B12:AC200">
    <cfRule type="expression" dxfId="0" priority="3">
      <formula>UPPER(TRIM($X12&amp;""))="CANCELLED"</formula>
    </cfRule>
  </conditionalFormatting>
  <dataValidations count="5">
    <dataValidation type="list" allowBlank="1" showInputMessage="1" showErrorMessage="1" errorTitle="Choose a value from the list" error="Use a value from the dropdown or clear the cell." sqref="B2" xr:uid="{00000000-0002-0000-0400-000000000000}">
      <formula1>_xlfn.ANCHORARRAY($CC$5)</formula1>
    </dataValidation>
    <dataValidation type="list" allowBlank="1" showInputMessage="1" showErrorMessage="1" errorTitle="Choose a value from the list" error="Use a value from the dropdown or clear the cell." sqref="B3" xr:uid="{00000000-0002-0000-0400-000001000000}">
      <formula1>_xlfn.ANCHORARRAY($CG$5)</formula1>
    </dataValidation>
    <dataValidation type="list" allowBlank="1" showInputMessage="1" showErrorMessage="1" errorTitle="Choose a value from the list" error="Use a value from the dropdown or clear the cell." sqref="B4" xr:uid="{00000000-0002-0000-0400-000002000000}">
      <formula1>_xlfn.ANCHORARRAY($CD$5)</formula1>
    </dataValidation>
    <dataValidation type="list" allowBlank="1" showInputMessage="1" showErrorMessage="1" errorTitle="Choose a value from the list" error="Use a value from the dropdown or clear the cell." sqref="B5" xr:uid="{00000000-0002-0000-0400-000003000000}">
      <formula1>_xlfn.ANCHORARRAY($CE$5)</formula1>
    </dataValidation>
    <dataValidation type="list" allowBlank="1" showInputMessage="1" showErrorMessage="1" errorTitle="Choose a value from the list" error="Use a value from the dropdown or clear the cell." sqref="B6" xr:uid="{00000000-0002-0000-0400-000004000000}">
      <formula1>_xlfn.ANCHORARRAY($CF$5)</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6149" r:id="rId3" name="Button 5">
              <controlPr defaultSize="0" print="0" autoFill="0" autoPict="0" macro="[0]!ClearReportFilters">
                <anchor moveWithCells="1" sizeWithCells="1">
                  <from>
                    <xdr:col>2</xdr:col>
                    <xdr:colOff>63500</xdr:colOff>
                    <xdr:row>1</xdr:row>
                    <xdr:rowOff>25400</xdr:rowOff>
                  </from>
                  <to>
                    <xdr:col>3</xdr:col>
                    <xdr:colOff>596900</xdr:colOff>
                    <xdr:row>3</xdr:row>
                    <xdr:rowOff>190500</xdr:rowOff>
                  </to>
                </anchor>
              </controlPr>
            </control>
          </mc:Choice>
        </mc:AlternateContent>
        <mc:AlternateContent xmlns:mc="http://schemas.openxmlformats.org/markup-compatibility/2006">
          <mc:Choice Requires="x14">
            <control shapeId="6168" r:id="rId4" name="Button 24">
              <controlPr defaultSize="0" print="0" autoFill="0" autoPict="0" macro="[0]!RefreshMasterData">
                <anchor moveWithCells="1" sizeWithCells="1">
                  <from>
                    <xdr:col>3</xdr:col>
                    <xdr:colOff>635000</xdr:colOff>
                    <xdr:row>1</xdr:row>
                    <xdr:rowOff>25400</xdr:rowOff>
                  </from>
                  <to>
                    <xdr:col>5</xdr:col>
                    <xdr:colOff>254000</xdr:colOff>
                    <xdr:row>3</xdr:row>
                    <xdr:rowOff>177800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17A1F9-2879-4026-AF01-05F356EEDD98}">
  <sheetPr codeName="Sheet2"/>
  <dimension ref="A1:I152"/>
  <sheetViews>
    <sheetView topLeftCell="A118" workbookViewId="0">
      <selection activeCell="K29" sqref="K29"/>
    </sheetView>
  </sheetViews>
  <sheetFormatPr baseColWidth="10" defaultColWidth="8.6640625" defaultRowHeight="15"/>
  <sheetData>
    <row r="1" spans="1:9">
      <c r="A1" s="67" t="s">
        <v>335</v>
      </c>
      <c r="B1" s="67"/>
      <c r="C1" s="67"/>
      <c r="D1" s="67"/>
      <c r="E1" s="67"/>
      <c r="F1" s="67"/>
      <c r="G1" s="67"/>
      <c r="H1" s="67"/>
      <c r="I1" s="67"/>
    </row>
    <row r="2" spans="1:9">
      <c r="A2" s="67"/>
      <c r="B2" s="67"/>
      <c r="C2" s="67"/>
      <c r="D2" s="67"/>
      <c r="E2" s="67"/>
      <c r="F2" s="67"/>
      <c r="G2" s="67"/>
      <c r="H2" s="67"/>
      <c r="I2" s="67"/>
    </row>
    <row r="3" spans="1:9">
      <c r="A3" s="67"/>
      <c r="B3" s="67"/>
      <c r="C3" s="67"/>
      <c r="D3" s="67"/>
      <c r="E3" s="67"/>
      <c r="F3" s="67"/>
      <c r="G3" s="67"/>
      <c r="H3" s="67"/>
      <c r="I3" s="67"/>
    </row>
    <row r="4" spans="1:9">
      <c r="A4" s="68" t="s">
        <v>336</v>
      </c>
      <c r="B4" s="69"/>
      <c r="C4" s="69"/>
      <c r="D4" s="69"/>
      <c r="E4" s="69"/>
      <c r="F4" s="69"/>
      <c r="G4" s="69"/>
      <c r="H4" s="69"/>
      <c r="I4" s="69"/>
    </row>
    <row r="5" spans="1:9">
      <c r="A5" s="69"/>
      <c r="B5" s="69"/>
      <c r="C5" s="69"/>
      <c r="D5" s="69"/>
      <c r="E5" s="69"/>
      <c r="F5" s="69"/>
      <c r="G5" s="69"/>
      <c r="H5" s="69"/>
      <c r="I5" s="69"/>
    </row>
    <row r="6" spans="1:9">
      <c r="A6" s="69"/>
      <c r="B6" s="69"/>
      <c r="C6" s="69"/>
      <c r="D6" s="69"/>
      <c r="E6" s="69"/>
      <c r="F6" s="69"/>
      <c r="G6" s="69"/>
      <c r="H6" s="69"/>
      <c r="I6" s="69"/>
    </row>
    <row r="7" spans="1:9">
      <c r="A7" s="69"/>
      <c r="B7" s="69"/>
      <c r="C7" s="69"/>
      <c r="D7" s="69"/>
      <c r="E7" s="69"/>
      <c r="F7" s="69"/>
      <c r="G7" s="69"/>
      <c r="H7" s="69"/>
      <c r="I7" s="69"/>
    </row>
    <row r="8" spans="1:9">
      <c r="A8" s="69"/>
      <c r="B8" s="69"/>
      <c r="C8" s="69"/>
      <c r="D8" s="69"/>
      <c r="E8" s="69"/>
      <c r="F8" s="69"/>
      <c r="G8" s="69"/>
      <c r="H8" s="69"/>
      <c r="I8" s="69"/>
    </row>
    <row r="9" spans="1:9">
      <c r="A9" s="69"/>
      <c r="B9" s="69"/>
      <c r="C9" s="69"/>
      <c r="D9" s="69"/>
      <c r="E9" s="69"/>
      <c r="F9" s="69"/>
      <c r="G9" s="69"/>
      <c r="H9" s="69"/>
      <c r="I9" s="69"/>
    </row>
    <row r="10" spans="1:9">
      <c r="A10" s="69"/>
      <c r="B10" s="69"/>
      <c r="C10" s="69"/>
      <c r="D10" s="69"/>
      <c r="E10" s="69"/>
      <c r="F10" s="69"/>
      <c r="G10" s="69"/>
      <c r="H10" s="69"/>
      <c r="I10" s="69"/>
    </row>
    <row r="11" spans="1:9">
      <c r="A11" s="69"/>
      <c r="B11" s="69"/>
      <c r="C11" s="69"/>
      <c r="D11" s="69"/>
      <c r="E11" s="69"/>
      <c r="F11" s="69"/>
      <c r="G11" s="69"/>
      <c r="H11" s="69"/>
      <c r="I11" s="69"/>
    </row>
    <row r="12" spans="1:9">
      <c r="A12" s="69"/>
      <c r="B12" s="69"/>
      <c r="C12" s="69"/>
      <c r="D12" s="69"/>
      <c r="E12" s="69"/>
      <c r="F12" s="69"/>
      <c r="G12" s="69"/>
      <c r="H12" s="69"/>
      <c r="I12" s="69"/>
    </row>
    <row r="13" spans="1:9">
      <c r="A13" s="69"/>
      <c r="B13" s="69"/>
      <c r="C13" s="69"/>
      <c r="D13" s="69"/>
      <c r="E13" s="69"/>
      <c r="F13" s="69"/>
      <c r="G13" s="69"/>
      <c r="H13" s="69"/>
      <c r="I13" s="69"/>
    </row>
    <row r="14" spans="1:9">
      <c r="A14" s="69"/>
      <c r="B14" s="69"/>
      <c r="C14" s="69"/>
      <c r="D14" s="69"/>
      <c r="E14" s="69"/>
      <c r="F14" s="69"/>
      <c r="G14" s="69"/>
      <c r="H14" s="69"/>
      <c r="I14" s="69"/>
    </row>
    <row r="15" spans="1:9">
      <c r="A15" s="69"/>
      <c r="B15" s="69"/>
      <c r="C15" s="69"/>
      <c r="D15" s="69"/>
      <c r="E15" s="69"/>
      <c r="F15" s="69"/>
      <c r="G15" s="69"/>
      <c r="H15" s="69"/>
      <c r="I15" s="69"/>
    </row>
    <row r="16" spans="1:9">
      <c r="A16" s="69"/>
      <c r="B16" s="69"/>
      <c r="C16" s="69"/>
      <c r="D16" s="69"/>
      <c r="E16" s="69"/>
      <c r="F16" s="69"/>
      <c r="G16" s="69"/>
      <c r="H16" s="69"/>
      <c r="I16" s="69"/>
    </row>
    <row r="17" spans="1:9">
      <c r="A17" s="69"/>
      <c r="B17" s="69"/>
      <c r="C17" s="69"/>
      <c r="D17" s="69"/>
      <c r="E17" s="69"/>
      <c r="F17" s="69"/>
      <c r="G17" s="69"/>
      <c r="H17" s="69"/>
      <c r="I17" s="69"/>
    </row>
    <row r="18" spans="1:9">
      <c r="A18" s="69"/>
      <c r="B18" s="69"/>
      <c r="C18" s="69"/>
      <c r="D18" s="69"/>
      <c r="E18" s="69"/>
      <c r="F18" s="69"/>
      <c r="G18" s="69"/>
      <c r="H18" s="69"/>
      <c r="I18" s="69"/>
    </row>
    <row r="19" spans="1:9">
      <c r="A19" s="69"/>
      <c r="B19" s="69"/>
      <c r="C19" s="69"/>
      <c r="D19" s="69"/>
      <c r="E19" s="69"/>
      <c r="F19" s="69"/>
      <c r="G19" s="69"/>
      <c r="H19" s="69"/>
      <c r="I19" s="69"/>
    </row>
    <row r="20" spans="1:9">
      <c r="A20" s="69"/>
      <c r="B20" s="69"/>
      <c r="C20" s="69"/>
      <c r="D20" s="69"/>
      <c r="E20" s="69"/>
      <c r="F20" s="69"/>
      <c r="G20" s="69"/>
      <c r="H20" s="69"/>
      <c r="I20" s="69"/>
    </row>
    <row r="21" spans="1:9">
      <c r="A21" s="69"/>
      <c r="B21" s="69"/>
      <c r="C21" s="69"/>
      <c r="D21" s="69"/>
      <c r="E21" s="69"/>
      <c r="F21" s="69"/>
      <c r="G21" s="69"/>
      <c r="H21" s="69"/>
      <c r="I21" s="69"/>
    </row>
    <row r="22" spans="1:9">
      <c r="A22" s="69"/>
      <c r="B22" s="69"/>
      <c r="C22" s="69"/>
      <c r="D22" s="69"/>
      <c r="E22" s="69"/>
      <c r="F22" s="69"/>
      <c r="G22" s="69"/>
      <c r="H22" s="69"/>
      <c r="I22" s="69"/>
    </row>
    <row r="23" spans="1:9">
      <c r="A23" s="69"/>
      <c r="B23" s="69"/>
      <c r="C23" s="69"/>
      <c r="D23" s="69"/>
      <c r="E23" s="69"/>
      <c r="F23" s="69"/>
      <c r="G23" s="69"/>
      <c r="H23" s="69"/>
      <c r="I23" s="69"/>
    </row>
    <row r="24" spans="1:9">
      <c r="A24" s="69"/>
      <c r="B24" s="69"/>
      <c r="C24" s="69"/>
      <c r="D24" s="69"/>
      <c r="E24" s="69"/>
      <c r="F24" s="69"/>
      <c r="G24" s="69"/>
      <c r="H24" s="69"/>
      <c r="I24" s="69"/>
    </row>
    <row r="25" spans="1:9">
      <c r="A25" s="69"/>
      <c r="B25" s="69"/>
      <c r="C25" s="69"/>
      <c r="D25" s="69"/>
      <c r="E25" s="69"/>
      <c r="F25" s="69"/>
      <c r="G25" s="69"/>
      <c r="H25" s="69"/>
      <c r="I25" s="69"/>
    </row>
    <row r="26" spans="1:9">
      <c r="A26" s="69"/>
      <c r="B26" s="69"/>
      <c r="C26" s="69"/>
      <c r="D26" s="69"/>
      <c r="E26" s="69"/>
      <c r="F26" s="69"/>
      <c r="G26" s="69"/>
      <c r="H26" s="69"/>
      <c r="I26" s="69"/>
    </row>
    <row r="27" spans="1:9">
      <c r="A27" s="69"/>
      <c r="B27" s="69"/>
      <c r="C27" s="69"/>
      <c r="D27" s="69"/>
      <c r="E27" s="69"/>
      <c r="F27" s="69"/>
      <c r="G27" s="69"/>
      <c r="H27" s="69"/>
      <c r="I27" s="69"/>
    </row>
    <row r="28" spans="1:9">
      <c r="A28" s="69"/>
      <c r="B28" s="69"/>
      <c r="C28" s="69"/>
      <c r="D28" s="69"/>
      <c r="E28" s="69"/>
      <c r="F28" s="69"/>
      <c r="G28" s="69"/>
      <c r="H28" s="69"/>
      <c r="I28" s="69"/>
    </row>
    <row r="29" spans="1:9">
      <c r="A29" s="69"/>
      <c r="B29" s="69"/>
      <c r="C29" s="69"/>
      <c r="D29" s="69"/>
      <c r="E29" s="69"/>
      <c r="F29" s="69"/>
      <c r="G29" s="69"/>
      <c r="H29" s="69"/>
      <c r="I29" s="69"/>
    </row>
    <row r="30" spans="1:9">
      <c r="A30" s="69"/>
      <c r="B30" s="69"/>
      <c r="C30" s="69"/>
      <c r="D30" s="69"/>
      <c r="E30" s="69"/>
      <c r="F30" s="69"/>
      <c r="G30" s="69"/>
      <c r="H30" s="69"/>
      <c r="I30" s="69"/>
    </row>
    <row r="31" spans="1:9">
      <c r="A31" s="69"/>
      <c r="B31" s="69"/>
      <c r="C31" s="69"/>
      <c r="D31" s="69"/>
      <c r="E31" s="69"/>
      <c r="F31" s="69"/>
      <c r="G31" s="69"/>
      <c r="H31" s="69"/>
      <c r="I31" s="69"/>
    </row>
    <row r="32" spans="1:9">
      <c r="A32" s="69"/>
      <c r="B32" s="69"/>
      <c r="C32" s="69"/>
      <c r="D32" s="69"/>
      <c r="E32" s="69"/>
      <c r="F32" s="69"/>
      <c r="G32" s="69"/>
      <c r="H32" s="69"/>
      <c r="I32" s="69"/>
    </row>
    <row r="33" spans="1:9">
      <c r="A33" s="69"/>
      <c r="B33" s="69"/>
      <c r="C33" s="69"/>
      <c r="D33" s="69"/>
      <c r="E33" s="69"/>
      <c r="F33" s="69"/>
      <c r="G33" s="69"/>
      <c r="H33" s="69"/>
      <c r="I33" s="69"/>
    </row>
    <row r="34" spans="1:9">
      <c r="A34" s="69"/>
      <c r="B34" s="69"/>
      <c r="C34" s="69"/>
      <c r="D34" s="69"/>
      <c r="E34" s="69"/>
      <c r="F34" s="69"/>
      <c r="G34" s="69"/>
      <c r="H34" s="69"/>
      <c r="I34" s="69"/>
    </row>
    <row r="35" spans="1:9">
      <c r="A35" s="69"/>
      <c r="B35" s="69"/>
      <c r="C35" s="69"/>
      <c r="D35" s="69"/>
      <c r="E35" s="69"/>
      <c r="F35" s="69"/>
      <c r="G35" s="69"/>
      <c r="H35" s="69"/>
      <c r="I35" s="69"/>
    </row>
    <row r="36" spans="1:9">
      <c r="A36" s="69"/>
      <c r="B36" s="69"/>
      <c r="C36" s="69"/>
      <c r="D36" s="69"/>
      <c r="E36" s="69"/>
      <c r="F36" s="69"/>
      <c r="G36" s="69"/>
      <c r="H36" s="69"/>
      <c r="I36" s="69"/>
    </row>
    <row r="37" spans="1:9">
      <c r="A37" s="69"/>
      <c r="B37" s="69"/>
      <c r="C37" s="69"/>
      <c r="D37" s="69"/>
      <c r="E37" s="69"/>
      <c r="F37" s="69"/>
      <c r="G37" s="69"/>
      <c r="H37" s="69"/>
      <c r="I37" s="69"/>
    </row>
    <row r="38" spans="1:9">
      <c r="A38" s="69"/>
      <c r="B38" s="69"/>
      <c r="C38" s="69"/>
      <c r="D38" s="69"/>
      <c r="E38" s="69"/>
      <c r="F38" s="69"/>
      <c r="G38" s="69"/>
      <c r="H38" s="69"/>
      <c r="I38" s="69"/>
    </row>
    <row r="39" spans="1:9">
      <c r="A39" s="69"/>
      <c r="B39" s="69"/>
      <c r="C39" s="69"/>
      <c r="D39" s="69"/>
      <c r="E39" s="69"/>
      <c r="F39" s="69"/>
      <c r="G39" s="69"/>
      <c r="H39" s="69"/>
      <c r="I39" s="69"/>
    </row>
    <row r="40" spans="1:9">
      <c r="A40" s="69"/>
      <c r="B40" s="69"/>
      <c r="C40" s="69"/>
      <c r="D40" s="69"/>
      <c r="E40" s="69"/>
      <c r="F40" s="69"/>
      <c r="G40" s="69"/>
      <c r="H40" s="69"/>
      <c r="I40" s="69"/>
    </row>
    <row r="41" spans="1:9">
      <c r="A41" s="69"/>
      <c r="B41" s="69"/>
      <c r="C41" s="69"/>
      <c r="D41" s="69"/>
      <c r="E41" s="69"/>
      <c r="F41" s="69"/>
      <c r="G41" s="69"/>
      <c r="H41" s="69"/>
      <c r="I41" s="69"/>
    </row>
    <row r="42" spans="1:9">
      <c r="A42" s="69"/>
      <c r="B42" s="69"/>
      <c r="C42" s="69"/>
      <c r="D42" s="69"/>
      <c r="E42" s="69"/>
      <c r="F42" s="69"/>
      <c r="G42" s="69"/>
      <c r="H42" s="69"/>
      <c r="I42" s="69"/>
    </row>
    <row r="43" spans="1:9">
      <c r="A43" s="69"/>
      <c r="B43" s="69"/>
      <c r="C43" s="69"/>
      <c r="D43" s="69"/>
      <c r="E43" s="69"/>
      <c r="F43" s="69"/>
      <c r="G43" s="69"/>
      <c r="H43" s="69"/>
      <c r="I43" s="69"/>
    </row>
    <row r="44" spans="1:9">
      <c r="A44" s="69"/>
      <c r="B44" s="69"/>
      <c r="C44" s="69"/>
      <c r="D44" s="69"/>
      <c r="E44" s="69"/>
      <c r="F44" s="69"/>
      <c r="G44" s="69"/>
      <c r="H44" s="69"/>
      <c r="I44" s="69"/>
    </row>
    <row r="45" spans="1:9">
      <c r="A45" s="69"/>
      <c r="B45" s="69"/>
      <c r="C45" s="69"/>
      <c r="D45" s="69"/>
      <c r="E45" s="69"/>
      <c r="F45" s="69"/>
      <c r="G45" s="69"/>
      <c r="H45" s="69"/>
      <c r="I45" s="69"/>
    </row>
    <row r="46" spans="1:9">
      <c r="A46" s="69"/>
      <c r="B46" s="69"/>
      <c r="C46" s="69"/>
      <c r="D46" s="69"/>
      <c r="E46" s="69"/>
      <c r="F46" s="69"/>
      <c r="G46" s="69"/>
      <c r="H46" s="69"/>
      <c r="I46" s="69"/>
    </row>
    <row r="47" spans="1:9">
      <c r="A47" s="69"/>
      <c r="B47" s="69"/>
      <c r="C47" s="69"/>
      <c r="D47" s="69"/>
      <c r="E47" s="69"/>
      <c r="F47" s="69"/>
      <c r="G47" s="69"/>
      <c r="H47" s="69"/>
      <c r="I47" s="69"/>
    </row>
    <row r="48" spans="1:9">
      <c r="A48" s="69"/>
      <c r="B48" s="69"/>
      <c r="C48" s="69"/>
      <c r="D48" s="69"/>
      <c r="E48" s="69"/>
      <c r="F48" s="69"/>
      <c r="G48" s="69"/>
      <c r="H48" s="69"/>
      <c r="I48" s="69"/>
    </row>
    <row r="49" spans="1:9">
      <c r="A49" s="69"/>
      <c r="B49" s="69"/>
      <c r="C49" s="69"/>
      <c r="D49" s="69"/>
      <c r="E49" s="69"/>
      <c r="F49" s="69"/>
      <c r="G49" s="69"/>
      <c r="H49" s="69"/>
      <c r="I49" s="69"/>
    </row>
    <row r="50" spans="1:9">
      <c r="A50" s="69"/>
      <c r="B50" s="69"/>
      <c r="C50" s="69"/>
      <c r="D50" s="69"/>
      <c r="E50" s="69"/>
      <c r="F50" s="69"/>
      <c r="G50" s="69"/>
      <c r="H50" s="69"/>
      <c r="I50" s="69"/>
    </row>
    <row r="51" spans="1:9">
      <c r="A51" s="69"/>
      <c r="B51" s="69"/>
      <c r="C51" s="69"/>
      <c r="D51" s="69"/>
      <c r="E51" s="69"/>
      <c r="F51" s="69"/>
      <c r="G51" s="69"/>
      <c r="H51" s="69"/>
      <c r="I51" s="69"/>
    </row>
    <row r="52" spans="1:9">
      <c r="A52" s="69"/>
      <c r="B52" s="69"/>
      <c r="C52" s="69"/>
      <c r="D52" s="69"/>
      <c r="E52" s="69"/>
      <c r="F52" s="69"/>
      <c r="G52" s="69"/>
      <c r="H52" s="69"/>
      <c r="I52" s="69"/>
    </row>
    <row r="53" spans="1:9">
      <c r="A53" s="69"/>
      <c r="B53" s="69"/>
      <c r="C53" s="69"/>
      <c r="D53" s="69"/>
      <c r="E53" s="69"/>
      <c r="F53" s="69"/>
      <c r="G53" s="69"/>
      <c r="H53" s="69"/>
      <c r="I53" s="69"/>
    </row>
    <row r="54" spans="1:9">
      <c r="A54" s="69"/>
      <c r="B54" s="69"/>
      <c r="C54" s="69"/>
      <c r="D54" s="69"/>
      <c r="E54" s="69"/>
      <c r="F54" s="69"/>
      <c r="G54" s="69"/>
      <c r="H54" s="69"/>
      <c r="I54" s="69"/>
    </row>
    <row r="55" spans="1:9">
      <c r="A55" s="69"/>
      <c r="B55" s="69"/>
      <c r="C55" s="69"/>
      <c r="D55" s="69"/>
      <c r="E55" s="69"/>
      <c r="F55" s="69"/>
      <c r="G55" s="69"/>
      <c r="H55" s="69"/>
      <c r="I55" s="69"/>
    </row>
    <row r="56" spans="1:9">
      <c r="A56" s="69"/>
      <c r="B56" s="69"/>
      <c r="C56" s="69"/>
      <c r="D56" s="69"/>
      <c r="E56" s="69"/>
      <c r="F56" s="69"/>
      <c r="G56" s="69"/>
      <c r="H56" s="69"/>
      <c r="I56" s="69"/>
    </row>
    <row r="57" spans="1:9">
      <c r="A57" s="69"/>
      <c r="B57" s="69"/>
      <c r="C57" s="69"/>
      <c r="D57" s="69"/>
      <c r="E57" s="69"/>
      <c r="F57" s="69"/>
      <c r="G57" s="69"/>
      <c r="H57" s="69"/>
      <c r="I57" s="69"/>
    </row>
    <row r="58" spans="1:9">
      <c r="A58" s="69"/>
      <c r="B58" s="69"/>
      <c r="C58" s="69"/>
      <c r="D58" s="69"/>
      <c r="E58" s="69"/>
      <c r="F58" s="69"/>
      <c r="G58" s="69"/>
      <c r="H58" s="69"/>
      <c r="I58" s="69"/>
    </row>
    <row r="59" spans="1:9">
      <c r="A59" s="69"/>
      <c r="B59" s="69"/>
      <c r="C59" s="69"/>
      <c r="D59" s="69"/>
      <c r="E59" s="69"/>
      <c r="F59" s="69"/>
      <c r="G59" s="69"/>
      <c r="H59" s="69"/>
      <c r="I59" s="69"/>
    </row>
    <row r="60" spans="1:9">
      <c r="A60" s="69"/>
      <c r="B60" s="69"/>
      <c r="C60" s="69"/>
      <c r="D60" s="69"/>
      <c r="E60" s="69"/>
      <c r="F60" s="69"/>
      <c r="G60" s="69"/>
      <c r="H60" s="69"/>
      <c r="I60" s="69"/>
    </row>
    <row r="61" spans="1:9">
      <c r="A61" s="69"/>
      <c r="B61" s="69"/>
      <c r="C61" s="69"/>
      <c r="D61" s="69"/>
      <c r="E61" s="69"/>
      <c r="F61" s="69"/>
      <c r="G61" s="69"/>
      <c r="H61" s="69"/>
      <c r="I61" s="69"/>
    </row>
    <row r="62" spans="1:9">
      <c r="A62" s="69"/>
      <c r="B62" s="69"/>
      <c r="C62" s="69"/>
      <c r="D62" s="69"/>
      <c r="E62" s="69"/>
      <c r="F62" s="69"/>
      <c r="G62" s="69"/>
      <c r="H62" s="69"/>
      <c r="I62" s="69"/>
    </row>
    <row r="63" spans="1:9">
      <c r="A63" s="69"/>
      <c r="B63" s="69"/>
      <c r="C63" s="69"/>
      <c r="D63" s="69"/>
      <c r="E63" s="69"/>
      <c r="F63" s="69"/>
      <c r="G63" s="69"/>
      <c r="H63" s="69"/>
      <c r="I63" s="69"/>
    </row>
    <row r="64" spans="1:9">
      <c r="A64" s="69"/>
      <c r="B64" s="69"/>
      <c r="C64" s="69"/>
      <c r="D64" s="69"/>
      <c r="E64" s="69"/>
      <c r="F64" s="69"/>
      <c r="G64" s="69"/>
      <c r="H64" s="69"/>
      <c r="I64" s="69"/>
    </row>
    <row r="65" spans="1:9">
      <c r="A65" s="69"/>
      <c r="B65" s="69"/>
      <c r="C65" s="69"/>
      <c r="D65" s="69"/>
      <c r="E65" s="69"/>
      <c r="F65" s="69"/>
      <c r="G65" s="69"/>
      <c r="H65" s="69"/>
      <c r="I65" s="69"/>
    </row>
    <row r="66" spans="1:9">
      <c r="A66" s="69"/>
      <c r="B66" s="69"/>
      <c r="C66" s="69"/>
      <c r="D66" s="69"/>
      <c r="E66" s="69"/>
      <c r="F66" s="69"/>
      <c r="G66" s="69"/>
      <c r="H66" s="69"/>
      <c r="I66" s="69"/>
    </row>
    <row r="67" spans="1:9">
      <c r="A67" s="69"/>
      <c r="B67" s="69"/>
      <c r="C67" s="69"/>
      <c r="D67" s="69"/>
      <c r="E67" s="69"/>
      <c r="F67" s="69"/>
      <c r="G67" s="69"/>
      <c r="H67" s="69"/>
      <c r="I67" s="69"/>
    </row>
    <row r="68" spans="1:9">
      <c r="A68" s="69"/>
      <c r="B68" s="69"/>
      <c r="C68" s="69"/>
      <c r="D68" s="69"/>
      <c r="E68" s="69"/>
      <c r="F68" s="69"/>
      <c r="G68" s="69"/>
      <c r="H68" s="69"/>
      <c r="I68" s="69"/>
    </row>
    <row r="69" spans="1:9">
      <c r="A69" s="69"/>
      <c r="B69" s="69"/>
      <c r="C69" s="69"/>
      <c r="D69" s="69"/>
      <c r="E69" s="69"/>
      <c r="F69" s="69"/>
      <c r="G69" s="69"/>
      <c r="H69" s="69"/>
      <c r="I69" s="69"/>
    </row>
    <row r="70" spans="1:9">
      <c r="A70" s="69"/>
      <c r="B70" s="69"/>
      <c r="C70" s="69"/>
      <c r="D70" s="69"/>
      <c r="E70" s="69"/>
      <c r="F70" s="69"/>
      <c r="G70" s="69"/>
      <c r="H70" s="69"/>
      <c r="I70" s="69"/>
    </row>
    <row r="71" spans="1:9">
      <c r="A71" s="69"/>
      <c r="B71" s="69"/>
      <c r="C71" s="69"/>
      <c r="D71" s="69"/>
      <c r="E71" s="69"/>
      <c r="F71" s="69"/>
      <c r="G71" s="69"/>
      <c r="H71" s="69"/>
      <c r="I71" s="69"/>
    </row>
    <row r="72" spans="1:9">
      <c r="A72" s="69"/>
      <c r="B72" s="69"/>
      <c r="C72" s="69"/>
      <c r="D72" s="69"/>
      <c r="E72" s="69"/>
      <c r="F72" s="69"/>
      <c r="G72" s="69"/>
      <c r="H72" s="69"/>
      <c r="I72" s="69"/>
    </row>
    <row r="73" spans="1:9">
      <c r="A73" s="69"/>
      <c r="B73" s="69"/>
      <c r="C73" s="69"/>
      <c r="D73" s="69"/>
      <c r="E73" s="69"/>
      <c r="F73" s="69"/>
      <c r="G73" s="69"/>
      <c r="H73" s="69"/>
      <c r="I73" s="69"/>
    </row>
    <row r="74" spans="1:9">
      <c r="A74" s="69"/>
      <c r="B74" s="69"/>
      <c r="C74" s="69"/>
      <c r="D74" s="69"/>
      <c r="E74" s="69"/>
      <c r="F74" s="69"/>
      <c r="G74" s="69"/>
      <c r="H74" s="69"/>
      <c r="I74" s="69"/>
    </row>
    <row r="75" spans="1:9">
      <c r="A75" s="69"/>
      <c r="B75" s="69"/>
      <c r="C75" s="69"/>
      <c r="D75" s="69"/>
      <c r="E75" s="69"/>
      <c r="F75" s="69"/>
      <c r="G75" s="69"/>
      <c r="H75" s="69"/>
      <c r="I75" s="69"/>
    </row>
    <row r="76" spans="1:9">
      <c r="A76" s="69"/>
      <c r="B76" s="69"/>
      <c r="C76" s="69"/>
      <c r="D76" s="69"/>
      <c r="E76" s="69"/>
      <c r="F76" s="69"/>
      <c r="G76" s="69"/>
      <c r="H76" s="69"/>
      <c r="I76" s="69"/>
    </row>
    <row r="77" spans="1:9">
      <c r="A77" s="69"/>
      <c r="B77" s="69"/>
      <c r="C77" s="69"/>
      <c r="D77" s="69"/>
      <c r="E77" s="69"/>
      <c r="F77" s="69"/>
      <c r="G77" s="69"/>
      <c r="H77" s="69"/>
      <c r="I77" s="69"/>
    </row>
    <row r="78" spans="1:9">
      <c r="A78" s="69"/>
      <c r="B78" s="69"/>
      <c r="C78" s="69"/>
      <c r="D78" s="69"/>
      <c r="E78" s="69"/>
      <c r="F78" s="69"/>
      <c r="G78" s="69"/>
      <c r="H78" s="69"/>
      <c r="I78" s="69"/>
    </row>
    <row r="79" spans="1:9">
      <c r="A79" s="69"/>
      <c r="B79" s="69"/>
      <c r="C79" s="69"/>
      <c r="D79" s="69"/>
      <c r="E79" s="69"/>
      <c r="F79" s="69"/>
      <c r="G79" s="69"/>
      <c r="H79" s="69"/>
      <c r="I79" s="69"/>
    </row>
    <row r="80" spans="1:9">
      <c r="A80" s="69"/>
      <c r="B80" s="69"/>
      <c r="C80" s="69"/>
      <c r="D80" s="69"/>
      <c r="E80" s="69"/>
      <c r="F80" s="69"/>
      <c r="G80" s="69"/>
      <c r="H80" s="69"/>
      <c r="I80" s="69"/>
    </row>
    <row r="81" spans="1:9">
      <c r="A81" s="69"/>
      <c r="B81" s="69"/>
      <c r="C81" s="69"/>
      <c r="D81" s="69"/>
      <c r="E81" s="69"/>
      <c r="F81" s="69"/>
      <c r="G81" s="69"/>
      <c r="H81" s="69"/>
      <c r="I81" s="69"/>
    </row>
    <row r="82" spans="1:9">
      <c r="A82" s="69"/>
      <c r="B82" s="69"/>
      <c r="C82" s="69"/>
      <c r="D82" s="69"/>
      <c r="E82" s="69"/>
      <c r="F82" s="69"/>
      <c r="G82" s="69"/>
      <c r="H82" s="69"/>
      <c r="I82" s="69"/>
    </row>
    <row r="83" spans="1:9">
      <c r="A83" s="69"/>
      <c r="B83" s="69"/>
      <c r="C83" s="69"/>
      <c r="D83" s="69"/>
      <c r="E83" s="69"/>
      <c r="F83" s="69"/>
      <c r="G83" s="69"/>
      <c r="H83" s="69"/>
      <c r="I83" s="69"/>
    </row>
    <row r="84" spans="1:9">
      <c r="A84" s="69"/>
      <c r="B84" s="69"/>
      <c r="C84" s="69"/>
      <c r="D84" s="69"/>
      <c r="E84" s="69"/>
      <c r="F84" s="69"/>
      <c r="G84" s="69"/>
      <c r="H84" s="69"/>
      <c r="I84" s="69"/>
    </row>
    <row r="85" spans="1:9">
      <c r="A85" s="69"/>
      <c r="B85" s="69"/>
      <c r="C85" s="69"/>
      <c r="D85" s="69"/>
      <c r="E85" s="69"/>
      <c r="F85" s="69"/>
      <c r="G85" s="69"/>
      <c r="H85" s="69"/>
      <c r="I85" s="69"/>
    </row>
    <row r="86" spans="1:9">
      <c r="A86" s="69"/>
      <c r="B86" s="69"/>
      <c r="C86" s="69"/>
      <c r="D86" s="69"/>
      <c r="E86" s="69"/>
      <c r="F86" s="69"/>
      <c r="G86" s="69"/>
      <c r="H86" s="69"/>
      <c r="I86" s="69"/>
    </row>
    <row r="87" spans="1:9">
      <c r="A87" s="69"/>
      <c r="B87" s="69"/>
      <c r="C87" s="69"/>
      <c r="D87" s="69"/>
      <c r="E87" s="69"/>
      <c r="F87" s="69"/>
      <c r="G87" s="69"/>
      <c r="H87" s="69"/>
      <c r="I87" s="69"/>
    </row>
    <row r="88" spans="1:9">
      <c r="A88" s="69"/>
      <c r="B88" s="69"/>
      <c r="C88" s="69"/>
      <c r="D88" s="69"/>
      <c r="E88" s="69"/>
      <c r="F88" s="69"/>
      <c r="G88" s="69"/>
      <c r="H88" s="69"/>
      <c r="I88" s="69"/>
    </row>
    <row r="89" spans="1:9">
      <c r="A89" s="69"/>
      <c r="B89" s="69"/>
      <c r="C89" s="69"/>
      <c r="D89" s="69"/>
      <c r="E89" s="69"/>
      <c r="F89" s="69"/>
      <c r="G89" s="69"/>
      <c r="H89" s="69"/>
      <c r="I89" s="69"/>
    </row>
    <row r="90" spans="1:9">
      <c r="A90" s="69"/>
      <c r="B90" s="69"/>
      <c r="C90" s="69"/>
      <c r="D90" s="69"/>
      <c r="E90" s="69"/>
      <c r="F90" s="69"/>
      <c r="G90" s="69"/>
      <c r="H90" s="69"/>
      <c r="I90" s="69"/>
    </row>
    <row r="91" spans="1:9">
      <c r="A91" s="69"/>
      <c r="B91" s="69"/>
      <c r="C91" s="69"/>
      <c r="D91" s="69"/>
      <c r="E91" s="69"/>
      <c r="F91" s="69"/>
      <c r="G91" s="69"/>
      <c r="H91" s="69"/>
      <c r="I91" s="69"/>
    </row>
    <row r="92" spans="1:9">
      <c r="A92" s="69"/>
      <c r="B92" s="69"/>
      <c r="C92" s="69"/>
      <c r="D92" s="69"/>
      <c r="E92" s="69"/>
      <c r="F92" s="69"/>
      <c r="G92" s="69"/>
      <c r="H92" s="69"/>
      <c r="I92" s="69"/>
    </row>
    <row r="93" spans="1:9">
      <c r="A93" s="69"/>
      <c r="B93" s="69"/>
      <c r="C93" s="69"/>
      <c r="D93" s="69"/>
      <c r="E93" s="69"/>
      <c r="F93" s="69"/>
      <c r="G93" s="69"/>
      <c r="H93" s="69"/>
      <c r="I93" s="69"/>
    </row>
    <row r="94" spans="1:9">
      <c r="A94" s="69"/>
      <c r="B94" s="69"/>
      <c r="C94" s="69"/>
      <c r="D94" s="69"/>
      <c r="E94" s="69"/>
      <c r="F94" s="69"/>
      <c r="G94" s="69"/>
      <c r="H94" s="69"/>
      <c r="I94" s="69"/>
    </row>
    <row r="95" spans="1:9">
      <c r="A95" s="69"/>
      <c r="B95" s="69"/>
      <c r="C95" s="69"/>
      <c r="D95" s="69"/>
      <c r="E95" s="69"/>
      <c r="F95" s="69"/>
      <c r="G95" s="69"/>
      <c r="H95" s="69"/>
      <c r="I95" s="69"/>
    </row>
    <row r="96" spans="1:9">
      <c r="A96" s="69"/>
      <c r="B96" s="69"/>
      <c r="C96" s="69"/>
      <c r="D96" s="69"/>
      <c r="E96" s="69"/>
      <c r="F96" s="69"/>
      <c r="G96" s="69"/>
      <c r="H96" s="69"/>
      <c r="I96" s="69"/>
    </row>
    <row r="97" spans="1:9">
      <c r="A97" s="69"/>
      <c r="B97" s="69"/>
      <c r="C97" s="69"/>
      <c r="D97" s="69"/>
      <c r="E97" s="69"/>
      <c r="F97" s="69"/>
      <c r="G97" s="69"/>
      <c r="H97" s="69"/>
      <c r="I97" s="69"/>
    </row>
    <row r="98" spans="1:9">
      <c r="A98" s="69"/>
      <c r="B98" s="69"/>
      <c r="C98" s="69"/>
      <c r="D98" s="69"/>
      <c r="E98" s="69"/>
      <c r="F98" s="69"/>
      <c r="G98" s="69"/>
      <c r="H98" s="69"/>
      <c r="I98" s="69"/>
    </row>
    <row r="99" spans="1:9">
      <c r="A99" s="69"/>
      <c r="B99" s="69"/>
      <c r="C99" s="69"/>
      <c r="D99" s="69"/>
      <c r="E99" s="69"/>
      <c r="F99" s="69"/>
      <c r="G99" s="69"/>
      <c r="H99" s="69"/>
      <c r="I99" s="69"/>
    </row>
    <row r="100" spans="1:9">
      <c r="A100" s="69"/>
      <c r="B100" s="69"/>
      <c r="C100" s="69"/>
      <c r="D100" s="69"/>
      <c r="E100" s="69"/>
      <c r="F100" s="69"/>
      <c r="G100" s="69"/>
      <c r="H100" s="69"/>
      <c r="I100" s="69"/>
    </row>
    <row r="101" spans="1:9">
      <c r="A101" s="69"/>
      <c r="B101" s="69"/>
      <c r="C101" s="69"/>
      <c r="D101" s="69"/>
      <c r="E101" s="69"/>
      <c r="F101" s="69"/>
      <c r="G101" s="69"/>
      <c r="H101" s="69"/>
      <c r="I101" s="69"/>
    </row>
    <row r="102" spans="1:9">
      <c r="A102" s="69"/>
      <c r="B102" s="69"/>
      <c r="C102" s="69"/>
      <c r="D102" s="69"/>
      <c r="E102" s="69"/>
      <c r="F102" s="69"/>
      <c r="G102" s="69"/>
      <c r="H102" s="69"/>
      <c r="I102" s="69"/>
    </row>
    <row r="103" spans="1:9">
      <c r="A103" s="69"/>
      <c r="B103" s="69"/>
      <c r="C103" s="69"/>
      <c r="D103" s="69"/>
      <c r="E103" s="69"/>
      <c r="F103" s="69"/>
      <c r="G103" s="69"/>
      <c r="H103" s="69"/>
      <c r="I103" s="69"/>
    </row>
    <row r="104" spans="1:9">
      <c r="A104" s="69"/>
      <c r="B104" s="69"/>
      <c r="C104" s="69"/>
      <c r="D104" s="69"/>
      <c r="E104" s="69"/>
      <c r="F104" s="69"/>
      <c r="G104" s="69"/>
      <c r="H104" s="69"/>
      <c r="I104" s="69"/>
    </row>
    <row r="105" spans="1:9">
      <c r="A105" s="69"/>
      <c r="B105" s="69"/>
      <c r="C105" s="69"/>
      <c r="D105" s="69"/>
      <c r="E105" s="69"/>
      <c r="F105" s="69"/>
      <c r="G105" s="69"/>
      <c r="H105" s="69"/>
      <c r="I105" s="69"/>
    </row>
    <row r="106" spans="1:9">
      <c r="A106" s="69"/>
      <c r="B106" s="69"/>
      <c r="C106" s="69"/>
      <c r="D106" s="69"/>
      <c r="E106" s="69"/>
      <c r="F106" s="69"/>
      <c r="G106" s="69"/>
      <c r="H106" s="69"/>
      <c r="I106" s="69"/>
    </row>
    <row r="107" spans="1:9">
      <c r="A107" s="69"/>
      <c r="B107" s="69"/>
      <c r="C107" s="69"/>
      <c r="D107" s="69"/>
      <c r="E107" s="69"/>
      <c r="F107" s="69"/>
      <c r="G107" s="69"/>
      <c r="H107" s="69"/>
      <c r="I107" s="69"/>
    </row>
    <row r="108" spans="1:9">
      <c r="A108" s="69"/>
      <c r="B108" s="69"/>
      <c r="C108" s="69"/>
      <c r="D108" s="69"/>
      <c r="E108" s="69"/>
      <c r="F108" s="69"/>
      <c r="G108" s="69"/>
      <c r="H108" s="69"/>
      <c r="I108" s="69"/>
    </row>
    <row r="109" spans="1:9">
      <c r="A109" s="69"/>
      <c r="B109" s="69"/>
      <c r="C109" s="69"/>
      <c r="D109" s="69"/>
      <c r="E109" s="69"/>
      <c r="F109" s="69"/>
      <c r="G109" s="69"/>
      <c r="H109" s="69"/>
      <c r="I109" s="69"/>
    </row>
    <row r="110" spans="1:9">
      <c r="A110" s="69"/>
      <c r="B110" s="69"/>
      <c r="C110" s="69"/>
      <c r="D110" s="69"/>
      <c r="E110" s="69"/>
      <c r="F110" s="69"/>
      <c r="G110" s="69"/>
      <c r="H110" s="69"/>
      <c r="I110" s="69"/>
    </row>
    <row r="111" spans="1:9">
      <c r="A111" s="69"/>
      <c r="B111" s="69"/>
      <c r="C111" s="69"/>
      <c r="D111" s="69"/>
      <c r="E111" s="69"/>
      <c r="F111" s="69"/>
      <c r="G111" s="69"/>
      <c r="H111" s="69"/>
      <c r="I111" s="69"/>
    </row>
    <row r="112" spans="1:9">
      <c r="A112" s="69"/>
      <c r="B112" s="69"/>
      <c r="C112" s="69"/>
      <c r="D112" s="69"/>
      <c r="E112" s="69"/>
      <c r="F112" s="69"/>
      <c r="G112" s="69"/>
      <c r="H112" s="69"/>
      <c r="I112" s="69"/>
    </row>
    <row r="113" spans="1:9">
      <c r="A113" s="69"/>
      <c r="B113" s="69"/>
      <c r="C113" s="69"/>
      <c r="D113" s="69"/>
      <c r="E113" s="69"/>
      <c r="F113" s="69"/>
      <c r="G113" s="69"/>
      <c r="H113" s="69"/>
      <c r="I113" s="69"/>
    </row>
    <row r="114" spans="1:9">
      <c r="A114" s="69"/>
      <c r="B114" s="69"/>
      <c r="C114" s="69"/>
      <c r="D114" s="69"/>
      <c r="E114" s="69"/>
      <c r="F114" s="69"/>
      <c r="G114" s="69"/>
      <c r="H114" s="69"/>
      <c r="I114" s="69"/>
    </row>
    <row r="115" spans="1:9">
      <c r="A115" s="69"/>
      <c r="B115" s="69"/>
      <c r="C115" s="69"/>
      <c r="D115" s="69"/>
      <c r="E115" s="69"/>
      <c r="F115" s="69"/>
      <c r="G115" s="69"/>
      <c r="H115" s="69"/>
      <c r="I115" s="69"/>
    </row>
    <row r="116" spans="1:9">
      <c r="A116" s="69"/>
      <c r="B116" s="69"/>
      <c r="C116" s="69"/>
      <c r="D116" s="69"/>
      <c r="E116" s="69"/>
      <c r="F116" s="69"/>
      <c r="G116" s="69"/>
      <c r="H116" s="69"/>
      <c r="I116" s="69"/>
    </row>
    <row r="117" spans="1:9">
      <c r="A117" s="69"/>
      <c r="B117" s="69"/>
      <c r="C117" s="69"/>
      <c r="D117" s="69"/>
      <c r="E117" s="69"/>
      <c r="F117" s="69"/>
      <c r="G117" s="69"/>
      <c r="H117" s="69"/>
      <c r="I117" s="69"/>
    </row>
    <row r="118" spans="1:9">
      <c r="A118" s="69"/>
      <c r="B118" s="69"/>
      <c r="C118" s="69"/>
      <c r="D118" s="69"/>
      <c r="E118" s="69"/>
      <c r="F118" s="69"/>
      <c r="G118" s="69"/>
      <c r="H118" s="69"/>
      <c r="I118" s="69"/>
    </row>
    <row r="119" spans="1:9">
      <c r="A119" s="69"/>
      <c r="B119" s="69"/>
      <c r="C119" s="69"/>
      <c r="D119" s="69"/>
      <c r="E119" s="69"/>
      <c r="F119" s="69"/>
      <c r="G119" s="69"/>
      <c r="H119" s="69"/>
      <c r="I119" s="69"/>
    </row>
    <row r="120" spans="1:9">
      <c r="A120" s="69"/>
      <c r="B120" s="69"/>
      <c r="C120" s="69"/>
      <c r="D120" s="69"/>
      <c r="E120" s="69"/>
      <c r="F120" s="69"/>
      <c r="G120" s="69"/>
      <c r="H120" s="69"/>
      <c r="I120" s="69"/>
    </row>
    <row r="121" spans="1:9">
      <c r="A121" s="69"/>
      <c r="B121" s="69"/>
      <c r="C121" s="69"/>
      <c r="D121" s="69"/>
      <c r="E121" s="69"/>
      <c r="F121" s="69"/>
      <c r="G121" s="69"/>
      <c r="H121" s="69"/>
      <c r="I121" s="69"/>
    </row>
    <row r="122" spans="1:9">
      <c r="A122" s="69"/>
      <c r="B122" s="69"/>
      <c r="C122" s="69"/>
      <c r="D122" s="69"/>
      <c r="E122" s="69"/>
      <c r="F122" s="69"/>
      <c r="G122" s="69"/>
      <c r="H122" s="69"/>
      <c r="I122" s="69"/>
    </row>
    <row r="123" spans="1:9">
      <c r="A123" s="69"/>
      <c r="B123" s="69"/>
      <c r="C123" s="69"/>
      <c r="D123" s="69"/>
      <c r="E123" s="69"/>
      <c r="F123" s="69"/>
      <c r="G123" s="69"/>
      <c r="H123" s="69"/>
      <c r="I123" s="69"/>
    </row>
    <row r="124" spans="1:9">
      <c r="A124" s="69"/>
      <c r="B124" s="69"/>
      <c r="C124" s="69"/>
      <c r="D124" s="69"/>
      <c r="E124" s="69"/>
      <c r="F124" s="69"/>
      <c r="G124" s="69"/>
      <c r="H124" s="69"/>
      <c r="I124" s="69"/>
    </row>
    <row r="125" spans="1:9">
      <c r="A125" s="69"/>
      <c r="B125" s="69"/>
      <c r="C125" s="69"/>
      <c r="D125" s="69"/>
      <c r="E125" s="69"/>
      <c r="F125" s="69"/>
      <c r="G125" s="69"/>
      <c r="H125" s="69"/>
      <c r="I125" s="69"/>
    </row>
    <row r="126" spans="1:9">
      <c r="A126" s="69"/>
      <c r="B126" s="69"/>
      <c r="C126" s="69"/>
      <c r="D126" s="69"/>
      <c r="E126" s="69"/>
      <c r="F126" s="69"/>
      <c r="G126" s="69"/>
      <c r="H126" s="69"/>
      <c r="I126" s="69"/>
    </row>
    <row r="127" spans="1:9">
      <c r="A127" s="69"/>
      <c r="B127" s="69"/>
      <c r="C127" s="69"/>
      <c r="D127" s="69"/>
      <c r="E127" s="69"/>
      <c r="F127" s="69"/>
      <c r="G127" s="69"/>
      <c r="H127" s="69"/>
      <c r="I127" s="69"/>
    </row>
    <row r="128" spans="1:9">
      <c r="A128" s="69"/>
      <c r="B128" s="69"/>
      <c r="C128" s="69"/>
      <c r="D128" s="69"/>
      <c r="E128" s="69"/>
      <c r="F128" s="69"/>
      <c r="G128" s="69"/>
      <c r="H128" s="69"/>
      <c r="I128" s="69"/>
    </row>
    <row r="129" spans="1:9">
      <c r="A129" s="69"/>
      <c r="B129" s="69"/>
      <c r="C129" s="69"/>
      <c r="D129" s="69"/>
      <c r="E129" s="69"/>
      <c r="F129" s="69"/>
      <c r="G129" s="69"/>
      <c r="H129" s="69"/>
      <c r="I129" s="69"/>
    </row>
    <row r="130" spans="1:9">
      <c r="A130" s="69"/>
      <c r="B130" s="69"/>
      <c r="C130" s="69"/>
      <c r="D130" s="69"/>
      <c r="E130" s="69"/>
      <c r="F130" s="69"/>
      <c r="G130" s="69"/>
      <c r="H130" s="69"/>
      <c r="I130" s="69"/>
    </row>
    <row r="131" spans="1:9">
      <c r="A131" s="69"/>
      <c r="B131" s="69"/>
      <c r="C131" s="69"/>
      <c r="D131" s="69"/>
      <c r="E131" s="69"/>
      <c r="F131" s="69"/>
      <c r="G131" s="69"/>
      <c r="H131" s="69"/>
      <c r="I131" s="69"/>
    </row>
    <row r="132" spans="1:9">
      <c r="A132" s="69"/>
      <c r="B132" s="69"/>
      <c r="C132" s="69"/>
      <c r="D132" s="69"/>
      <c r="E132" s="69"/>
      <c r="F132" s="69"/>
      <c r="G132" s="69"/>
      <c r="H132" s="69"/>
      <c r="I132" s="69"/>
    </row>
    <row r="133" spans="1:9">
      <c r="A133" s="69"/>
      <c r="B133" s="69"/>
      <c r="C133" s="69"/>
      <c r="D133" s="69"/>
      <c r="E133" s="69"/>
      <c r="F133" s="69"/>
      <c r="G133" s="69"/>
      <c r="H133" s="69"/>
      <c r="I133" s="69"/>
    </row>
    <row r="134" spans="1:9">
      <c r="A134" s="69"/>
      <c r="B134" s="69"/>
      <c r="C134" s="69"/>
      <c r="D134" s="69"/>
      <c r="E134" s="69"/>
      <c r="F134" s="69"/>
      <c r="G134" s="69"/>
      <c r="H134" s="69"/>
      <c r="I134" s="69"/>
    </row>
    <row r="135" spans="1:9">
      <c r="A135" s="69"/>
      <c r="B135" s="69"/>
      <c r="C135" s="69"/>
      <c r="D135" s="69"/>
      <c r="E135" s="69"/>
      <c r="F135" s="69"/>
      <c r="G135" s="69"/>
      <c r="H135" s="69"/>
      <c r="I135" s="69"/>
    </row>
    <row r="136" spans="1:9">
      <c r="A136" s="69"/>
      <c r="B136" s="69"/>
      <c r="C136" s="69"/>
      <c r="D136" s="69"/>
      <c r="E136" s="69"/>
      <c r="F136" s="69"/>
      <c r="G136" s="69"/>
      <c r="H136" s="69"/>
      <c r="I136" s="69"/>
    </row>
    <row r="137" spans="1:9">
      <c r="A137" s="69"/>
      <c r="B137" s="69"/>
      <c r="C137" s="69"/>
      <c r="D137" s="69"/>
      <c r="E137" s="69"/>
      <c r="F137" s="69"/>
      <c r="G137" s="69"/>
      <c r="H137" s="69"/>
      <c r="I137" s="69"/>
    </row>
    <row r="138" spans="1:9">
      <c r="A138" s="69"/>
      <c r="B138" s="69"/>
      <c r="C138" s="69"/>
      <c r="D138" s="69"/>
      <c r="E138" s="69"/>
      <c r="F138" s="69"/>
      <c r="G138" s="69"/>
      <c r="H138" s="69"/>
      <c r="I138" s="69"/>
    </row>
    <row r="139" spans="1:9">
      <c r="A139" s="69"/>
      <c r="B139" s="69"/>
      <c r="C139" s="69"/>
      <c r="D139" s="69"/>
      <c r="E139" s="69"/>
      <c r="F139" s="69"/>
      <c r="G139" s="69"/>
      <c r="H139" s="69"/>
      <c r="I139" s="69"/>
    </row>
    <row r="140" spans="1:9">
      <c r="A140" s="69"/>
      <c r="B140" s="69"/>
      <c r="C140" s="69"/>
      <c r="D140" s="69"/>
      <c r="E140" s="69"/>
      <c r="F140" s="69"/>
      <c r="G140" s="69"/>
      <c r="H140" s="69"/>
      <c r="I140" s="69"/>
    </row>
    <row r="141" spans="1:9">
      <c r="A141" s="69"/>
      <c r="B141" s="69"/>
      <c r="C141" s="69"/>
      <c r="D141" s="69"/>
      <c r="E141" s="69"/>
      <c r="F141" s="69"/>
      <c r="G141" s="69"/>
      <c r="H141" s="69"/>
      <c r="I141" s="69"/>
    </row>
    <row r="142" spans="1:9">
      <c r="A142" s="69"/>
      <c r="B142" s="69"/>
      <c r="C142" s="69"/>
      <c r="D142" s="69"/>
      <c r="E142" s="69"/>
      <c r="F142" s="69"/>
      <c r="G142" s="69"/>
      <c r="H142" s="69"/>
      <c r="I142" s="69"/>
    </row>
    <row r="143" spans="1:9">
      <c r="A143" s="69"/>
      <c r="B143" s="69"/>
      <c r="C143" s="69"/>
      <c r="D143" s="69"/>
      <c r="E143" s="69"/>
      <c r="F143" s="69"/>
      <c r="G143" s="69"/>
      <c r="H143" s="69"/>
      <c r="I143" s="69"/>
    </row>
    <row r="144" spans="1:9">
      <c r="A144" s="69"/>
      <c r="B144" s="69"/>
      <c r="C144" s="69"/>
      <c r="D144" s="69"/>
      <c r="E144" s="69"/>
      <c r="F144" s="69"/>
      <c r="G144" s="69"/>
      <c r="H144" s="69"/>
      <c r="I144" s="69"/>
    </row>
    <row r="145" spans="1:9">
      <c r="A145" s="69"/>
      <c r="B145" s="69"/>
      <c r="C145" s="69"/>
      <c r="D145" s="69"/>
      <c r="E145" s="69"/>
      <c r="F145" s="69"/>
      <c r="G145" s="69"/>
      <c r="H145" s="69"/>
      <c r="I145" s="69"/>
    </row>
    <row r="146" spans="1:9">
      <c r="A146" s="69"/>
      <c r="B146" s="69"/>
      <c r="C146" s="69"/>
      <c r="D146" s="69"/>
      <c r="E146" s="69"/>
      <c r="F146" s="69"/>
      <c r="G146" s="69"/>
      <c r="H146" s="69"/>
      <c r="I146" s="69"/>
    </row>
    <row r="147" spans="1:9">
      <c r="A147" s="69"/>
      <c r="B147" s="69"/>
      <c r="C147" s="69"/>
      <c r="D147" s="69"/>
      <c r="E147" s="69"/>
      <c r="F147" s="69"/>
      <c r="G147" s="69"/>
      <c r="H147" s="69"/>
      <c r="I147" s="69"/>
    </row>
    <row r="148" spans="1:9">
      <c r="A148" s="69"/>
      <c r="B148" s="69"/>
      <c r="C148" s="69"/>
      <c r="D148" s="69"/>
      <c r="E148" s="69"/>
      <c r="F148" s="69"/>
      <c r="G148" s="69"/>
      <c r="H148" s="69"/>
      <c r="I148" s="69"/>
    </row>
    <row r="149" spans="1:9">
      <c r="A149" s="69"/>
      <c r="B149" s="69"/>
      <c r="C149" s="69"/>
      <c r="D149" s="69"/>
      <c r="E149" s="69"/>
      <c r="F149" s="69"/>
      <c r="G149" s="69"/>
      <c r="H149" s="69"/>
      <c r="I149" s="69"/>
    </row>
    <row r="150" spans="1:9">
      <c r="A150" s="69"/>
      <c r="B150" s="69"/>
      <c r="C150" s="69"/>
      <c r="D150" s="69"/>
      <c r="E150" s="69"/>
      <c r="F150" s="69"/>
      <c r="G150" s="69"/>
      <c r="H150" s="69"/>
      <c r="I150" s="69"/>
    </row>
    <row r="151" spans="1:9">
      <c r="A151" s="69"/>
      <c r="B151" s="69"/>
      <c r="C151" s="69"/>
      <c r="D151" s="69"/>
      <c r="E151" s="69"/>
      <c r="F151" s="69"/>
      <c r="G151" s="69"/>
      <c r="H151" s="69"/>
      <c r="I151" s="69"/>
    </row>
    <row r="152" spans="1:9">
      <c r="A152" s="69"/>
      <c r="B152" s="69"/>
      <c r="C152" s="69"/>
      <c r="D152" s="69"/>
      <c r="E152" s="69"/>
      <c r="F152" s="69"/>
      <c r="G152" s="69"/>
      <c r="H152" s="69"/>
      <c r="I152" s="69"/>
    </row>
  </sheetData>
  <mergeCells count="2">
    <mergeCell ref="A1:I3"/>
    <mergeCell ref="A4:I15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WEEKLY</vt:lpstr>
      <vt:lpstr>TEMPLATE</vt:lpstr>
      <vt:lpstr>LOG_HISTORY</vt:lpstr>
      <vt:lpstr>MASTER_DATA</vt:lpstr>
      <vt:lpstr>REPORT</vt:lpstr>
      <vt:lpstr>README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Logistics Operations Demo</dc:title>
  <dc:subject>Synthetic logistics analytics portfolio workbook</dc:subject>
  <dc:creator>Portfolio Demo</dc:creator>
  <cp:keywords>portfolio; logistics; synthetic demo</cp:keywords>
  <dc:description>Public demo workbook containing independently generated fictional data only.</dc:description>
  <cp:lastModifiedBy>Marats Grinbergs</cp:lastModifiedBy>
  <cp:revision/>
  <dcterms:created xsi:type="dcterms:W3CDTF">2026-10-06T00:00:00Z</dcterms:created>
  <dcterms:modified xsi:type="dcterms:W3CDTF">2026-10-06T11:33:12Z</dcterms:modified>
  <cp:category>Portfolio Demo</cp:category>
  <cp:contentStatus/>
</cp:coreProperties>
</file>